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a C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<sst xmlns="http://schemas.openxmlformats.org/spreadsheetml/2006/main" count="20" uniqueCount="20">
  <si>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COMPARATIVA · Demanda de calefacción Anexo IV (RES060FC) vs BBDD real de certificados (CEE) — CIUDAD REAL</t>
  </si>
  <si>
    <t xml:space="preserve">Fuente real: CIUDAD REAL CEE (1).xlsx · Año = col I (AnoConstruccion) · Demanda = col AU. Registros válidos (año+demanda&gt;0): 19920 de 21438.</t>
  </si>
  <si>
    <t xml:space="preserve">Nota: la MEDIA cruda está sesgada por valores atípicos muy altos (máx. &gt;40.000). Se añade MEDIANA y MEDIA FILTRADA (≤500 kWh/m²·año) por representatividad. Anexo IV en kWh/m²·año.</t>
  </si>
  <si>
    <t xml:space="preserve">Intervalo (Anexo IV)</t>
  </si>
  <si>
    <t xml:space="preserve">n (CEE)</t>
  </si>
  <si>
    <t xml:space="preserve">Media CEE</t>
  </si>
  <si>
    <t xml:space="preserve">Mediana CEE</t>
  </si>
  <si>
    <t xml:space="preserve">Media filtrada ≤500</t>
  </si>
  <si>
    <t xml:space="preserve">n filtrada</t>
  </si>
  <si>
    <t xml:space="preserve">Anexo IV Unifamiliar</t>
  </si>
  <si>
    <t xml:space="preserve">Anexo IV Pluri 1-3</t>
  </si>
  <si>
    <t xml:space="preserve">Anexo IV Pluri ≥4</t>
  </si>
  <si>
    <t xml:space="preserve">Media CEE / Anexo IV Unif.</t>
  </si>
  <si>
    <t xml:space="preserve">≤1940</t>
  </si>
  <si>
    <t xml:space="preserve">1941-1960</t>
  </si>
  <si>
    <t xml:space="preserve">1961-1980</t>
  </si>
  <si>
    <t xml:space="preserve">1981-2007</t>
  </si>
  <si>
    <t xml:space="preserve">2008-2012</t>
  </si>
  <si>
    <t xml:space="preserve">2013-2019</t>
  </si>
  <si>
    <t xml:space="preserve">&gt;2019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</si>
</sst>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FCE4D6"/>
        <bgColor rgb="FFDDEBF7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CE4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Mediana CEE vs Anexo IV (Unifamiliar) — kWh/m²·año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'Comparativa CR'!D5</c:f>
              <c:strCache>
                <c:ptCount val="1"/>
                <c:pt idx="0">
                  <c:v>Mediana CEE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'Comparativa CR'!$A$6:$A$12</c:f>
              <c:strCache>
                <c:ptCount val="7"/>
                <c:pt idx="0">
                  <c:v>≤1940</c:v>
                </c:pt>
                <c:pt idx="1">
                  <c:v>1941-1960</c:v>
                </c:pt>
                <c:pt idx="2">
                  <c:v>1961-1980</c:v>
                </c:pt>
                <c:pt idx="3">
                  <c:v>1981-2007</c:v>
                </c:pt>
                <c:pt idx="4">
                  <c:v>2008-2012</c:v>
                </c:pt>
                <c:pt idx="5">
                  <c:v>2013-2019</c:v>
                </c:pt>
                <c:pt idx="6">
                  <c:v>&gt;2019</c:v>
                </c:pt>
              </c:strCache>
            </c:strRef>
          </c:cat>
          <c:val>
            <c:numRef>
              <c:f>'Comparativa CR'!$D$6:$D$12</c:f>
              <c:numCache>
                <c:formatCode>#,##0.0</c:formatCode>
                <c:ptCount val="7"/>
                <c:pt idx="0">
                  <c:v>179.2</c:v>
                </c:pt>
                <c:pt idx="1">
                  <c:v>180.8</c:v>
                </c:pt>
                <c:pt idx="2">
                  <c:v>150.4</c:v>
                </c:pt>
                <c:pt idx="3">
                  <c:v>130.8</c:v>
                </c:pt>
                <c:pt idx="4">
                  <c:v>92.6</c:v>
                </c:pt>
                <c:pt idx="5">
                  <c:v>93.4</c:v>
                </c:pt>
                <c:pt idx="6">
                  <c:v>72.7</c:v>
                </c:pt>
              </c:numCache>
            </c:numRef>
          </c:val>
        </c:ser>
        <c:ser>
          <c:idx val="1"/>
          <c:order val="1"/>
          <c:tx>
            <c:strRef>
              <c:f>'Comparativa CR'!G5</c:f>
              <c:strCache>
                <c:ptCount val="1"/>
                <c:pt idx="0">
                  <c:v>Anexo IV Unifamiliar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'Comparativa CR'!$A$6:$A$12</c:f>
              <c:strCache>
                <c:ptCount val="7"/>
                <c:pt idx="0">
                  <c:v>≤1940</c:v>
                </c:pt>
                <c:pt idx="1">
                  <c:v>1941-1960</c:v>
                </c:pt>
                <c:pt idx="2">
                  <c:v>1961-1980</c:v>
                </c:pt>
                <c:pt idx="3">
                  <c:v>1981-2007</c:v>
                </c:pt>
                <c:pt idx="4">
                  <c:v>2008-2012</c:v>
                </c:pt>
                <c:pt idx="5">
                  <c:v>2013-2019</c:v>
                </c:pt>
                <c:pt idx="6">
                  <c:v>&gt;2019</c:v>
                </c:pt>
              </c:strCache>
            </c:strRef>
          </c:cat>
          <c:val>
            <c:numRef>
              <c:f>'Comparativa CR'!$G$6:$G$12</c:f>
              <c:numCache>
                <c:formatCode>#,##0.0</c:formatCode>
                <c:ptCount val="7"/>
                <c:pt idx="0">
                  <c:v>176.9</c:v>
                </c:pt>
                <c:pt idx="1">
                  <c:v>164.2</c:v>
                </c:pt>
                <c:pt idx="2">
                  <c:v>159.1</c:v>
                </c:pt>
                <c:pt idx="3">
                  <c:v>96.4</c:v>
                </c:pt>
                <c:pt idx="4">
                  <c:v>62.7</c:v>
                </c:pt>
                <c:pt idx="5">
                  <c:v>50.2</c:v>
                </c:pt>
                <c:pt idx="6">
                  <c:v>45.1</c:v>
                </c:pt>
              </c:numCache>
            </c:numRef>
          </c:val>
        </c:ser>
        <c:gapWidth val="150"/>
        <c:overlap val="0"/>
        <c:axId val="5550170"/>
        <c:axId val="36874372"/>
      </c:barChart>
      <c:catAx>
        <c:axId val="55501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874372"/>
        <c:crosses val="autoZero"/>
        <c:auto val="1"/>
        <c:lblAlgn val="ctr"/>
        <c:lblOffset val="100"/>
        <c:noMultiLvlLbl val="0"/>
      </c:catAx>
      <c:valAx>
        <c:axId val="368743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501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Media filtrada CEE vs Anexo IV (3 tipologías)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'Comparativa CR'!E5</c:f>
              <c:strCache>
                <c:ptCount val="1"/>
                <c:pt idx="0">
                  <c:v>Media filtrada ≤500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'Comparativa CR'!$A$6:$A$12</c:f>
              <c:strCache>
                <c:ptCount val="7"/>
                <c:pt idx="0">
                  <c:v>≤1940</c:v>
                </c:pt>
                <c:pt idx="1">
                  <c:v>1941-1960</c:v>
                </c:pt>
                <c:pt idx="2">
                  <c:v>1961-1980</c:v>
                </c:pt>
                <c:pt idx="3">
                  <c:v>1981-2007</c:v>
                </c:pt>
                <c:pt idx="4">
                  <c:v>2008-2012</c:v>
                </c:pt>
                <c:pt idx="5">
                  <c:v>2013-2019</c:v>
                </c:pt>
                <c:pt idx="6">
                  <c:v>&gt;2019</c:v>
                </c:pt>
              </c:strCache>
            </c:strRef>
          </c:cat>
          <c:val>
            <c:numRef>
              <c:f>'Comparativa CR'!$E$6:$E$12</c:f>
              <c:numCache>
                <c:formatCode>#,##0.0</c:formatCode>
                <c:ptCount val="7"/>
                <c:pt idx="0">
                  <c:v>184</c:v>
                </c:pt>
                <c:pt idx="1">
                  <c:v>181</c:v>
                </c:pt>
                <c:pt idx="2">
                  <c:v>154.4</c:v>
                </c:pt>
                <c:pt idx="3">
                  <c:v>131.1</c:v>
                </c:pt>
                <c:pt idx="4">
                  <c:v>95.4</c:v>
                </c:pt>
                <c:pt idx="5">
                  <c:v>89.9</c:v>
                </c:pt>
                <c:pt idx="6">
                  <c:v>76.3</c:v>
                </c:pt>
              </c:numCache>
            </c:numRef>
          </c:val>
        </c:ser>
        <c:ser>
          <c:idx val="1"/>
          <c:order val="1"/>
          <c:tx>
            <c:strRef>
              <c:f>'Comparativa CR'!G5</c:f>
              <c:strCache>
                <c:ptCount val="1"/>
                <c:pt idx="0">
                  <c:v>Anexo IV Unifamiliar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'Comparativa CR'!$A$6:$A$12</c:f>
              <c:strCache>
                <c:ptCount val="7"/>
                <c:pt idx="0">
                  <c:v>≤1940</c:v>
                </c:pt>
                <c:pt idx="1">
                  <c:v>1941-1960</c:v>
                </c:pt>
                <c:pt idx="2">
                  <c:v>1961-1980</c:v>
                </c:pt>
                <c:pt idx="3">
                  <c:v>1981-2007</c:v>
                </c:pt>
                <c:pt idx="4">
                  <c:v>2008-2012</c:v>
                </c:pt>
                <c:pt idx="5">
                  <c:v>2013-2019</c:v>
                </c:pt>
                <c:pt idx="6">
                  <c:v>&gt;2019</c:v>
                </c:pt>
              </c:strCache>
            </c:strRef>
          </c:cat>
          <c:val>
            <c:numRef>
              <c:f>'Comparativa CR'!$G$6:$G$12</c:f>
              <c:numCache>
                <c:formatCode>#,##0.0</c:formatCode>
                <c:ptCount val="7"/>
                <c:pt idx="0">
                  <c:v>176.9</c:v>
                </c:pt>
                <c:pt idx="1">
                  <c:v>164.2</c:v>
                </c:pt>
                <c:pt idx="2">
                  <c:v>159.1</c:v>
                </c:pt>
                <c:pt idx="3">
                  <c:v>96.4</c:v>
                </c:pt>
                <c:pt idx="4">
                  <c:v>62.7</c:v>
                </c:pt>
                <c:pt idx="5">
                  <c:v>50.2</c:v>
                </c:pt>
                <c:pt idx="6">
                  <c:v>45.1</c:v>
                </c:pt>
              </c:numCache>
            </c:numRef>
          </c:val>
        </c:ser>
        <c:ser>
          <c:idx val="2"/>
          <c:order val="2"/>
          <c:tx>
            <c:strRef>
              <c:f>'Comparativa CR'!H5</c:f>
              <c:strCache>
                <c:ptCount val="1"/>
                <c:pt idx="0">
                  <c:v>Anexo IV Pluri 1-3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'Comparativa CR'!$A$6:$A$12</c:f>
              <c:strCache>
                <c:ptCount val="7"/>
                <c:pt idx="0">
                  <c:v>≤1940</c:v>
                </c:pt>
                <c:pt idx="1">
                  <c:v>1941-1960</c:v>
                </c:pt>
                <c:pt idx="2">
                  <c:v>1961-1980</c:v>
                </c:pt>
                <c:pt idx="3">
                  <c:v>1981-2007</c:v>
                </c:pt>
                <c:pt idx="4">
                  <c:v>2008-2012</c:v>
                </c:pt>
                <c:pt idx="5">
                  <c:v>2013-2019</c:v>
                </c:pt>
                <c:pt idx="6">
                  <c:v>&gt;2019</c:v>
                </c:pt>
              </c:strCache>
            </c:strRef>
          </c:cat>
          <c:val>
            <c:numRef>
              <c:f>'Comparativa CR'!$H$6:$H$12</c:f>
              <c:numCache>
                <c:formatCode>#,##0.0</c:formatCode>
                <c:ptCount val="7"/>
                <c:pt idx="0">
                  <c:v>125.7</c:v>
                </c:pt>
                <c:pt idx="1">
                  <c:v>118.1</c:v>
                </c:pt>
                <c:pt idx="2">
                  <c:v>82</c:v>
                </c:pt>
                <c:pt idx="3">
                  <c:v>58.8</c:v>
                </c:pt>
                <c:pt idx="4">
                  <c:v>38.9</c:v>
                </c:pt>
                <c:pt idx="5">
                  <c:v>31.1</c:v>
                </c:pt>
                <c:pt idx="6">
                  <c:v>28</c:v>
                </c:pt>
              </c:numCache>
            </c:numRef>
          </c:val>
        </c:ser>
        <c:ser>
          <c:idx val="3"/>
          <c:order val="3"/>
          <c:tx>
            <c:strRef>
              <c:f>'Comparativa CR'!I5</c:f>
              <c:strCache>
                <c:ptCount val="1"/>
                <c:pt idx="0">
                  <c:v>Anexo IV Pluri ≥4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'Comparativa CR'!$A$6:$A$12</c:f>
              <c:strCache>
                <c:ptCount val="7"/>
                <c:pt idx="0">
                  <c:v>≤1940</c:v>
                </c:pt>
                <c:pt idx="1">
                  <c:v>1941-1960</c:v>
                </c:pt>
                <c:pt idx="2">
                  <c:v>1961-1980</c:v>
                </c:pt>
                <c:pt idx="3">
                  <c:v>1981-2007</c:v>
                </c:pt>
                <c:pt idx="4">
                  <c:v>2008-2012</c:v>
                </c:pt>
                <c:pt idx="5">
                  <c:v>2013-2019</c:v>
                </c:pt>
                <c:pt idx="6">
                  <c:v>&gt;2019</c:v>
                </c:pt>
              </c:strCache>
            </c:strRef>
          </c:cat>
          <c:val>
            <c:numRef>
              <c:f>'Comparativa CR'!$I$6:$I$12</c:f>
              <c:numCache>
                <c:formatCode>#,##0.0</c:formatCode>
                <c:ptCount val="7"/>
                <c:pt idx="0">
                  <c:v>92.9</c:v>
                </c:pt>
                <c:pt idx="1">
                  <c:v>82.2</c:v>
                </c:pt>
                <c:pt idx="2">
                  <c:v>73.1</c:v>
                </c:pt>
                <c:pt idx="3">
                  <c:v>42.5</c:v>
                </c:pt>
                <c:pt idx="4">
                  <c:v>27.9</c:v>
                </c:pt>
                <c:pt idx="5">
                  <c:v>22.3</c:v>
                </c:pt>
                <c:pt idx="6">
                  <c:v>20.1</c:v>
                </c:pt>
              </c:numCache>
            </c:numRef>
          </c:val>
        </c:ser>
        <c:gapWidth val="150"/>
        <c:overlap val="0"/>
        <c:axId val="12026309"/>
        <c:axId val="82359517"/>
      </c:barChart>
      <c:catAx>
        <c:axId val="120263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359517"/>
        <c:crosses val="autoZero"/>
        <c:auto val="1"/>
        <c:lblAlgn val="ctr"/>
        <c:lblOffset val="100"/>
        <c:noMultiLvlLbl val="0"/>
      </c:catAx>
      <c:valAx>
        <c:axId val="82359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02630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5</xdr:col>
      <xdr:colOff>840960</xdr:colOff>
      <xdr:row>29</xdr:row>
      <xdr:rowOff>22320</xdr:rowOff>
    </xdr:to>
    <xdr:graphicFrame>
      <xdr:nvGraphicFramePr>
        <xdr:cNvPr id="1" name="Chart 1"/>
        <xdr:cNvGraphicFramePr/>
      </xdr:nvGraphicFramePr>
      <xdr:xfrm>
        <a:off x="0" y="29509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5</xdr:col>
      <xdr:colOff>840960</xdr:colOff>
      <xdr:row>46</xdr:row>
      <xdr:rowOff>22320</xdr:rowOff>
    </xdr:to>
    <xdr:graphicFrame>
      <xdr:nvGraphicFramePr>
        <xdr:cNvPr id="2" name="Chart 2"/>
        <xdr:cNvGraphicFramePr/>
      </xdr:nvGraphicFramePr>
      <xdr:xfrm>
        <a:off x="0" y="61894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10" min="2" style="0" width="1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26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4" t="s">
        <v>13</v>
      </c>
      <c r="B6" s="5" t="n">
        <v>871</v>
      </c>
      <c r="C6" s="6" t="n">
        <v>215.5</v>
      </c>
      <c r="D6" s="6" t="n">
        <v>179.2</v>
      </c>
      <c r="E6" s="6" t="n">
        <v>184</v>
      </c>
      <c r="F6" s="5" t="n">
        <v>866</v>
      </c>
      <c r="G6" s="7" t="n">
        <v>176.9</v>
      </c>
      <c r="H6" s="7" t="n">
        <v>125.7</v>
      </c>
      <c r="I6" s="7" t="n">
        <v>92.9</v>
      </c>
      <c r="J6" s="8" t="n">
        <f aca="false">IFERROR(C6/G6,0)</f>
        <v>1.21820237422272</v>
      </c>
    </row>
    <row r="7" customFormat="false" ht="15" hidden="false" customHeight="false" outlineLevel="0" collapsed="false">
      <c r="A7" s="4" t="s">
        <v>14</v>
      </c>
      <c r="B7" s="5" t="n">
        <v>1898</v>
      </c>
      <c r="C7" s="6" t="n">
        <v>229.1</v>
      </c>
      <c r="D7" s="6" t="n">
        <v>180.8</v>
      </c>
      <c r="E7" s="6" t="n">
        <v>181</v>
      </c>
      <c r="F7" s="5" t="n">
        <v>1886</v>
      </c>
      <c r="G7" s="7" t="n">
        <v>164.2</v>
      </c>
      <c r="H7" s="7" t="n">
        <v>118.1</v>
      </c>
      <c r="I7" s="7" t="n">
        <v>82.2</v>
      </c>
      <c r="J7" s="8" t="n">
        <f aca="false">IFERROR(C7/G7,0)</f>
        <v>1.3952496954933</v>
      </c>
    </row>
    <row r="8" customFormat="false" ht="15" hidden="false" customHeight="false" outlineLevel="0" collapsed="false">
      <c r="A8" s="4" t="s">
        <v>15</v>
      </c>
      <c r="B8" s="5" t="n">
        <v>4246</v>
      </c>
      <c r="C8" s="6" t="n">
        <v>192.7</v>
      </c>
      <c r="D8" s="6" t="n">
        <v>150.4</v>
      </c>
      <c r="E8" s="6" t="n">
        <v>154.4</v>
      </c>
      <c r="F8" s="5" t="n">
        <v>4226</v>
      </c>
      <c r="G8" s="7" t="n">
        <v>159.1</v>
      </c>
      <c r="H8" s="7" t="n">
        <v>82</v>
      </c>
      <c r="I8" s="7" t="n">
        <v>73.1</v>
      </c>
      <c r="J8" s="8" t="n">
        <f aca="false">IFERROR(C8/G8,0)</f>
        <v>1.21118793211816</v>
      </c>
    </row>
    <row r="9" customFormat="false" ht="15" hidden="false" customHeight="false" outlineLevel="0" collapsed="false">
      <c r="A9" s="4" t="s">
        <v>16</v>
      </c>
      <c r="B9" s="5" t="n">
        <v>9348</v>
      </c>
      <c r="C9" s="6" t="n">
        <v>322.9</v>
      </c>
      <c r="D9" s="6" t="n">
        <v>130.8</v>
      </c>
      <c r="E9" s="6" t="n">
        <v>131.1</v>
      </c>
      <c r="F9" s="5" t="n">
        <v>9087</v>
      </c>
      <c r="G9" s="7" t="n">
        <v>96.4</v>
      </c>
      <c r="H9" s="7" t="n">
        <v>58.8</v>
      </c>
      <c r="I9" s="7" t="n">
        <v>42.5</v>
      </c>
      <c r="J9" s="8" t="n">
        <f aca="false">IFERROR(C9/G9,0)</f>
        <v>3.34958506224066</v>
      </c>
    </row>
    <row r="10" customFormat="false" ht="15" hidden="false" customHeight="false" outlineLevel="0" collapsed="false">
      <c r="A10" s="4" t="s">
        <v>17</v>
      </c>
      <c r="B10" s="5" t="n">
        <v>2287</v>
      </c>
      <c r="C10" s="6" t="n">
        <v>262</v>
      </c>
      <c r="D10" s="6" t="n">
        <v>92.6</v>
      </c>
      <c r="E10" s="6" t="n">
        <v>95.4</v>
      </c>
      <c r="F10" s="5" t="n">
        <v>2241</v>
      </c>
      <c r="G10" s="7" t="n">
        <v>62.7</v>
      </c>
      <c r="H10" s="7" t="n">
        <v>38.9</v>
      </c>
      <c r="I10" s="7" t="n">
        <v>27.9</v>
      </c>
      <c r="J10" s="8" t="n">
        <f aca="false">IFERROR(C10/G10,0)</f>
        <v>4.17862838915471</v>
      </c>
    </row>
    <row r="11" customFormat="false" ht="15" hidden="false" customHeight="false" outlineLevel="0" collapsed="false">
      <c r="A11" s="4" t="s">
        <v>18</v>
      </c>
      <c r="B11" s="5" t="n">
        <v>550</v>
      </c>
      <c r="C11" s="6" t="n">
        <v>645.5</v>
      </c>
      <c r="D11" s="6" t="n">
        <v>93.4</v>
      </c>
      <c r="E11" s="6" t="n">
        <v>89.9</v>
      </c>
      <c r="F11" s="5" t="n">
        <v>510</v>
      </c>
      <c r="G11" s="7" t="n">
        <v>50.2</v>
      </c>
      <c r="H11" s="7" t="n">
        <v>31.1</v>
      </c>
      <c r="I11" s="7" t="n">
        <v>22.3</v>
      </c>
      <c r="J11" s="8" t="n">
        <f aca="false">IFERROR(C11/G11,0)</f>
        <v>12.8585657370518</v>
      </c>
    </row>
    <row r="12" customFormat="false" ht="15" hidden="false" customHeight="false" outlineLevel="0" collapsed="false">
      <c r="A12" s="4" t="s">
        <v>19</v>
      </c>
      <c r="B12" s="5" t="n">
        <v>720</v>
      </c>
      <c r="C12" s="6" t="n">
        <v>310.8</v>
      </c>
      <c r="D12" s="6" t="n">
        <v>72.7</v>
      </c>
      <c r="E12" s="6" t="n">
        <v>76.3</v>
      </c>
      <c r="F12" s="5" t="n">
        <v>701</v>
      </c>
      <c r="G12" s="7" t="n">
        <v>45.1</v>
      </c>
      <c r="H12" s="7" t="n">
        <v>28</v>
      </c>
      <c r="I12" s="7" t="n">
        <v>20.1</v>
      </c>
      <c r="J12" s="8" t="n">
        <f aca="false">IFERROR(C12/G12,0)</f>
        <v>6.89135254988914</v>
      </c>
    </row>
  </sheetData>
  <mergeCells count="3">
    <mergeCell ref="A1:L1"/>
    <mergeCell ref="A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2026-07-01T16:01:05Z</dcterms:created>
  <dc:creator>openpyxl</dc:creator>
  <dc:description/>
  <dc:language>en-US</dc:language>
  <cp:lastModifiedBy/>
  <dcterms:modified xsi:type="dcterms:W3CDTF">2026-07-01T18:01:07Z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