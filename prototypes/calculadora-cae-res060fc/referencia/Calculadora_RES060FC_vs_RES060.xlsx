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CAE rápido" sheetId="2" state="visible" r:id="rId4"/>
    <sheet name="Anexo IV (Calefacción)" sheetId="3" state="visible" r:id="rId5"/>
    <sheet name="Anexo II (Caldera)" sheetId="4" state="visible" r:id="rId6"/>
    <sheet name="Anexo I (SCOP)" sheetId="5" state="visible" r:id="rId7"/>
    <sheet name="Anexo III (ACS)" sheetId="6" state="visible" r:id="rId8"/>
    <sheet name="Parámetros" sheetId="7" state="visible" r:id="rId9"/>
    <sheet name="Notas y dudas" sheetId="8" state="visible" r:id="rId10"/>
  </sheets>
  <definedNames>
    <definedName function="false" hidden="false" name="CALD_TBL" vbProcedure="false">'Anexo II (Caldera)'!$A$4:$B$22</definedName>
    <definedName function="false" hidden="false" name="CC" vbProcedure="false">Parámetros!$B$17</definedName>
    <definedName function="false" hidden="false" name="DACS_ANEXO3" vbProcedure="false">'Anexo III (ACS)'!$F$18</definedName>
    <definedName function="false" hidden="false" name="FC_TBL" vbProcedure="false">Parámetros!$A$4:$B$6</definedName>
    <definedName function="false" hidden="false" name="L_ACS" vbProcedure="false">Parámetros!$I$4:$I$5</definedName>
    <definedName function="false" hidden="false" name="L_FCNAME" vbProcedure="false">Parámetros!$F$4:$F$6</definedName>
    <definedName function="false" hidden="false" name="L_METODO" vbProcedure="false">Parámetros!$G$4:$G$6</definedName>
    <definedName function="false" hidden="false" name="L_SINO" vbProcedure="false">Parámetros!$H$4:$H$5</definedName>
    <definedName function="false" hidden="false" name="L_TIPO" vbProcedure="false">Parámetros!$E$4:$E$6</definedName>
    <definedName function="false" hidden="false" name="P13_DATA" vbProcedure="false">'Anexo IV (Calefacción)'!$B$60:$H$110</definedName>
    <definedName function="false" hidden="false" name="P4_DATA" vbProcedure="false">'Anexo IV (Calefacción)'!$B$114:$H$164</definedName>
    <definedName function="false" hidden="false" name="PROV_LIST" vbProcedure="false">'Anexo IV (Calefacción)'!$A$6:$A$56</definedName>
    <definedName function="false" hidden="false" name="TOPE" vbProcedure="false">Parámetros!$B$20</definedName>
    <definedName function="false" hidden="false" name="UNI_DATA" vbProcedure="false">'Anexo IV (Calefacción)'!$B$6:$H$56</definedName>
    <definedName function="false" hidden="false" name="VULN_MULT" vbProcedure="false">Parámetros!$B$16</definedName>
    <definedName function="false" hidden="false" name="YEAR_HDR" vbProcedure="false">'Anexo IV (Calefacción)'!$B$5:$H$5</definedName>
    <definedName function="false" hidden="false" name="_F1" vbProcedure="false">Parámetros!$B$18</definedName>
    <definedName function="false" hidden="false" name="_F2" vbProcedure="false">Parámetros!$B$19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<sst xmlns="http://schemas.openxmlformats.org/spreadsheetml/2006/main" count="475" uniqueCount="300">
  <si>
    <t xml:space="preserve">CALCULADORA COMPARATIVA · RES060 (actual) vs RES060FC (propuesta con factor de corrección)</t>
  </si>
  <si>
    <t xml:space="preserve">Amarillo=editable · Verde=enlace a otra hoja · Compara el ahorro de la misma actuación con ambas fichas. Corregido: en RES060FC el f_C multiplica SOLO al término de ACS dentro de AES.</t>
  </si>
  <si>
    <t xml:space="preserve">1 · Datos comunes (edificio y consumo)</t>
  </si>
  <si>
    <t xml:space="preserve">Tipología de edificio (Anexo IV)</t>
  </si>
  <si>
    <t xml:space="preserve">Unifamiliar</t>
  </si>
  <si>
    <t xml:space="preserve">Tabla del Anexo IV para RES060FC</t>
  </si>
  <si>
    <t xml:space="preserve">Provincia (capital)</t>
  </si>
  <si>
    <t xml:space="preserve">Madrid</t>
  </si>
  <si>
    <t xml:space="preserve">Año de construcción</t>
  </si>
  <si>
    <t xml:space="preserve">1981-2007</t>
  </si>
  <si>
    <t xml:space="preserve">Superficie útil habitable S (m²)</t>
  </si>
  <si>
    <t xml:space="preserve">Común a ambas fichas</t>
  </si>
  <si>
    <t xml:space="preserve">→ Valor Anexo IV (kWh/m²·año)</t>
  </si>
  <si>
    <t xml:space="preserve">Búsqueda automática</t>
  </si>
  <si>
    <t xml:space="preserve">CEF — consumo energía final previo (kWh/año)</t>
  </si>
  <si>
    <t xml:space="preserve">Del certificado energético. Sólo RES060FC (tope 70%).</t>
  </si>
  <si>
    <t xml:space="preserve">¿Incluir calefacción?</t>
  </si>
  <si>
    <t xml:space="preserve">Sí</t>
  </si>
  <si>
    <t xml:space="preserve">¿Incluir ACS?</t>
  </si>
  <si>
    <t xml:space="preserve">Origen D_ACS</t>
  </si>
  <si>
    <t xml:space="preserve">Directo (CEE)</t>
  </si>
  <si>
    <t xml:space="preserve">  · D_ACS Anexo III (kWh/año)</t>
  </si>
  <si>
    <t xml:space="preserve">Rellena la hoja Anexo III</t>
  </si>
  <si>
    <t xml:space="preserve">  · D_ACS directo CEE (kWh/año)</t>
  </si>
  <si>
    <t xml:space="preserve">→ D_ACS utilizado (común)</t>
  </si>
  <si>
    <t xml:space="preserve">2 · SCOP de la bomba de calor (común a ambas fichas)</t>
  </si>
  <si>
    <t xml:space="preserve">CALEFACCIÓN (SCOP_bdc)</t>
  </si>
  <si>
    <t xml:space="preserve">Método SCOP calefacción</t>
  </si>
  <si>
    <t xml:space="preserve">1 - Fabricante (directo)</t>
  </si>
  <si>
    <t xml:space="preserve">  · M1: SCOP fabricante (calef.)</t>
  </si>
  <si>
    <t xml:space="preserve">Suelo radiante W35 · fancoil W45 · radiadores W55</t>
  </si>
  <si>
    <t xml:space="preserve">  · M2: η_S,h (energía primaria)</t>
  </si>
  <si>
    <t xml:space="preserve">SCOP=2,5·(η_S,h+F1+F2)</t>
  </si>
  <si>
    <t xml:space="preserve">      ¿Hidrotérmica circuito abierto? (F2)</t>
  </si>
  <si>
    <t xml:space="preserve">No</t>
  </si>
  <si>
    <t xml:space="preserve">  · M3: COP nominal (calef.)</t>
  </si>
  <si>
    <t xml:space="preserve">      FP (Anexo I)</t>
  </si>
  <si>
    <t xml:space="preserve">      FC (Anexo I)</t>
  </si>
  <si>
    <t xml:space="preserve">→ SCOP_bdc utilizado</t>
  </si>
  <si>
    <t xml:space="preserve">ACS (SCOP_dhw)</t>
  </si>
  <si>
    <t xml:space="preserve">Método SCOP ACS</t>
  </si>
  <si>
    <t xml:space="preserve">  · M1: SCOP fabricante (ACS)</t>
  </si>
  <si>
    <t xml:space="preserve">  · M2: η_hw (energía primaria)</t>
  </si>
  <si>
    <t xml:space="preserve">SCOP_dhw=2,5·η_hw</t>
  </si>
  <si>
    <t xml:space="preserve">  · M3: COP nominal (ACS)</t>
  </si>
  <si>
    <t xml:space="preserve">→ SCOP_dhw utilizado</t>
  </si>
  <si>
    <t xml:space="preserve">3 · Parámetros ficha RES060 (ACTUAL, V1.1)</t>
  </si>
  <si>
    <t xml:space="preserve">FP — factor de ponderación</t>
  </si>
  <si>
    <t xml:space="preserve">Por defecto 1</t>
  </si>
  <si>
    <t xml:space="preserve">η_i (rend. caldera, referido a PCS)</t>
  </si>
  <si>
    <t xml:space="preserve">Valor fijo de la ficha actual</t>
  </si>
  <si>
    <t xml:space="preserve">D_CAL del CEE (kWh/m²·año)</t>
  </si>
  <si>
    <t xml:space="preserve">Por defecto = Anexo IV; sustitúyelo por el dato real del CEE</t>
  </si>
  <si>
    <t xml:space="preserve">4 · Parámetros ficha RES060FC (PROPUESTA)</t>
  </si>
  <si>
    <t xml:space="preserve">Caldera sustituida (Anexo II)</t>
  </si>
  <si>
    <t xml:space="preserve">Gas, de 1998 en adelante, sin condensación, con encendido automático</t>
  </si>
  <si>
    <t xml:space="preserve">Si hay varias, la de MAYOR rendimiento</t>
  </si>
  <si>
    <t xml:space="preserve">  · η por defecto (Anexo II)</t>
  </si>
  <si>
    <t xml:space="preserve">  · η_i real (opcional, sobreescribe)</t>
  </si>
  <si>
    <t xml:space="preserve">0 = usar valor por defecto</t>
  </si>
  <si>
    <t xml:space="preserve">→ η_i utilizado (RES060FC)</t>
  </si>
  <si>
    <t xml:space="preserve">Tipo de vivienda (f_C)</t>
  </si>
  <si>
    <t xml:space="preserve">Piso/apartamento</t>
  </si>
  <si>
    <t xml:space="preserve">Unifamiliar 2 · Piso 2,5 · Bloque 3</t>
  </si>
  <si>
    <t xml:space="preserve">  · f_C base</t>
  </si>
  <si>
    <t xml:space="preserve">Editable en «Parámetros»</t>
  </si>
  <si>
    <t xml:space="preserve">¿Vulnerable severo? (×1,5)</t>
  </si>
  <si>
    <t xml:space="preserve">→ f_C aplicado</t>
  </si>
  <si>
    <t xml:space="preserve">¿Aplicar f_C dentro de AES? (literal, solo ACS)</t>
  </si>
  <si>
    <t xml:space="preserve">El borrador lo escribe así (f_C multiplica al término de ACS). «No» = f_C sólo al final.</t>
  </si>
  <si>
    <t xml:space="preserve">5 · COMPARATIVA DE AHORROS</t>
  </si>
  <si>
    <t xml:space="preserve">Concepto</t>
  </si>
  <si>
    <t xml:space="preserve">RES060 (actual V1.1)</t>
  </si>
  <si>
    <t xml:space="preserve">RES060FC (propuesta)</t>
  </si>
  <si>
    <t xml:space="preserve">Demanda calefacción (kWh/año)</t>
  </si>
  <si>
    <t xml:space="preserve">η_i utilizado</t>
  </si>
  <si>
    <t xml:space="preserve">Ahorro calefacción (kWh/año)</t>
  </si>
  <si>
    <t xml:space="preserve">Ahorro ACS — base, sin f_C (kWh/año)</t>
  </si>
  <si>
    <t xml:space="preserve">f_C aplicado</t>
  </si>
  <si>
    <t xml:space="preserve">Suma/AES antes de tope (kWh/año)</t>
  </si>
  <si>
    <t xml:space="preserve">Tope 0,70·CEF (kWh/año)</t>
  </si>
  <si>
    <t xml:space="preserve">Mín(AES; 0,70·CEF) (kWh/año)</t>
  </si>
  <si>
    <t xml:space="preserve">AE_TOTAL — Ahorro anual (kWh/año)</t>
  </si>
  <si>
    <t xml:space="preserve">Diferencia RES060FC − RES060 (kWh/año)</t>
  </si>
  <si>
    <t xml:space="preserve">Ratio RES060FC / RES060 (veces)</t>
  </si>
  <si>
    <t xml:space="preserve">6 · Valoración económica (opcional)</t>
  </si>
  <si>
    <t xml:space="preserve">Precio CAE (€ por kWh·año ahorrado)</t>
  </si>
  <si>
    <t xml:space="preserve">Ajusta al precio de mercado / acuerdo</t>
  </si>
  <si>
    <t xml:space="preserve">Valor económico (€)</t>
  </si>
  <si>
    <t xml:space="preserve">Diferencia económica (€)</t>
  </si>
  <si>
    <t xml:space="preserve">RES060 actual</t>
  </si>
  <si>
    <t xml:space="preserve">RES060FC</t>
  </si>
  <si>
    <t xml:space="preserve">CALCULADORA RÁPIDA · CAEs máximos (ficha RES060FC)</t>
  </si>
  <si>
    <t xml:space="preserve">1 CAE = 1 kWh/año de ahorro de energía final. Rellena las celdas amarillas.</t>
  </si>
  <si>
    <t xml:space="preserve">ENTRADAS</t>
  </si>
  <si>
    <t xml:space="preserve">Provincia</t>
  </si>
  <si>
    <t xml:space="preserve">Ciudad Real</t>
  </si>
  <si>
    <t xml:space="preserve">Superficie útil S (m²)</t>
  </si>
  <si>
    <t xml:space="preserve">η automático; o usa override</t>
  </si>
  <si>
    <t xml:space="preserve">η_i real (opcional, 0=usar Anexo II)</t>
  </si>
  <si>
    <t xml:space="preserve">SCOP_bdc (calefacción)</t>
  </si>
  <si>
    <t xml:space="preserve">Dato de fabricante</t>
  </si>
  <si>
    <t xml:space="preserve">D_ACS (kWh/año)</t>
  </si>
  <si>
    <t xml:space="preserve">0 si no aplica</t>
  </si>
  <si>
    <t xml:space="preserve">SCOP_dhw (ACS)</t>
  </si>
  <si>
    <t xml:space="preserve">Del certificado energético</t>
  </si>
  <si>
    <t xml:space="preserve">Unif. 2 · Piso 2,5 · Bloque 3</t>
  </si>
  <si>
    <t xml:space="preserve">¿f_C dentro de AES? (literal, solo ACS)</t>
  </si>
  <si>
    <t xml:space="preserve">CÁLCULO</t>
  </si>
  <si>
    <t xml:space="preserve">Valor Anexo IV (kWh/m²·año)</t>
  </si>
  <si>
    <t xml:space="preserve">Ahorro ACS base (kWh/año)</t>
  </si>
  <si>
    <t xml:space="preserve">AES (kWh/año)</t>
  </si>
  <si>
    <t xml:space="preserve">Mín(AES; tope)</t>
  </si>
  <si>
    <t xml:space="preserve">RESULTADO</t>
  </si>
  <si>
    <t xml:space="preserve">CAEs MÁXIMOS (kWh/año)</t>
  </si>
  <si>
    <t xml:space="preserve">AE_TOTAL = Mín(AES;0,70·CEF)·f_C</t>
  </si>
  <si>
    <t xml:space="preserve">¿Qué limita el CAE?</t>
  </si>
  <si>
    <t xml:space="preserve">Si manda el tope, mejorar SCOP no da más CAE</t>
  </si>
  <si>
    <t xml:space="preserve">Precio CAE (€/kWh·año)</t>
  </si>
  <si>
    <t xml:space="preserve">ANEXO IV · Demanda energética residencial para calefacción (kWh/m²·año)</t>
  </si>
  <si>
    <t xml:space="preserve">Fuente: MITMA «Aproximación a la demanda residencial para calefacción» (Tablas F32-F35). Edita si dispones de dato oficial actualizado.</t>
  </si>
  <si>
    <t xml:space="preserve">UNIFAMILIAR</t>
  </si>
  <si>
    <t xml:space="preserve">≤1940</t>
  </si>
  <si>
    <t xml:space="preserve">1941-1960</t>
  </si>
  <si>
    <t xml:space="preserve">1961-1980</t>
  </si>
  <si>
    <t xml:space="preserve">2008-2012</t>
  </si>
  <si>
    <t xml:space="preserve">2013-2019</t>
  </si>
  <si>
    <t xml:space="preserve">&gt;2019</t>
  </si>
  <si>
    <t xml:space="preserve">Araba/Álava</t>
  </si>
  <si>
    <t xml:space="preserve">Albacete</t>
  </si>
  <si>
    <t xml:space="preserve">Alicante/Alacant</t>
  </si>
  <si>
    <t xml:space="preserve">Almería</t>
  </si>
  <si>
    <t xml:space="preserve">Ávila</t>
  </si>
  <si>
    <t xml:space="preserve">Badajoz</t>
  </si>
  <si>
    <t xml:space="preserve">Balears, Illes</t>
  </si>
  <si>
    <t xml:space="preserve">Barcelona</t>
  </si>
  <si>
    <t xml:space="preserve">Burgos</t>
  </si>
  <si>
    <t xml:space="preserve">Cáceres</t>
  </si>
  <si>
    <t xml:space="preserve">Cádiz</t>
  </si>
  <si>
    <t xml:space="preserve">Castellón/Castelló</t>
  </si>
  <si>
    <t xml:space="preserve">Córdoba</t>
  </si>
  <si>
    <t xml:space="preserve">Coruña, A</t>
  </si>
  <si>
    <t xml:space="preserve">Cuenca</t>
  </si>
  <si>
    <t xml:space="preserve">Girona</t>
  </si>
  <si>
    <t xml:space="preserve">Granada</t>
  </si>
  <si>
    <t xml:space="preserve">Guadalajara</t>
  </si>
  <si>
    <t xml:space="preserve">Gipuzkoa</t>
  </si>
  <si>
    <t xml:space="preserve">Huelva</t>
  </si>
  <si>
    <t xml:space="preserve">Huesca</t>
  </si>
  <si>
    <t xml:space="preserve">Jaén</t>
  </si>
  <si>
    <t xml:space="preserve">León</t>
  </si>
  <si>
    <t xml:space="preserve">Lleida</t>
  </si>
  <si>
    <t xml:space="preserve">Rioja, La</t>
  </si>
  <si>
    <t xml:space="preserve">Lugo</t>
  </si>
  <si>
    <t xml:space="preserve">Málaga</t>
  </si>
  <si>
    <t xml:space="preserve">Murcia</t>
  </si>
  <si>
    <t xml:space="preserve">Navarra</t>
  </si>
  <si>
    <t xml:space="preserve">Ourense</t>
  </si>
  <si>
    <t xml:space="preserve">Asturias</t>
  </si>
  <si>
    <t xml:space="preserve">Palencia</t>
  </si>
  <si>
    <t xml:space="preserve">Palmas, Las</t>
  </si>
  <si>
    <t xml:space="preserve">Pontevedra</t>
  </si>
  <si>
    <t xml:space="preserve">Salamanca</t>
  </si>
  <si>
    <t xml:space="preserve">Sta. C. de Tenerife</t>
  </si>
  <si>
    <t xml:space="preserve">Cantabria</t>
  </si>
  <si>
    <t xml:space="preserve">Segovia</t>
  </si>
  <si>
    <t xml:space="preserve">Sevilla</t>
  </si>
  <si>
    <t xml:space="preserve">Soria</t>
  </si>
  <si>
    <t xml:space="preserve">Tarragona</t>
  </si>
  <si>
    <t xml:space="preserve">Teruel</t>
  </si>
  <si>
    <t xml:space="preserve">Toledo</t>
  </si>
  <si>
    <t xml:space="preserve">Valencia/Valéncia</t>
  </si>
  <si>
    <t xml:space="preserve">Valladolid</t>
  </si>
  <si>
    <t xml:space="preserve">Bizkaia</t>
  </si>
  <si>
    <t xml:space="preserve">Zamora</t>
  </si>
  <si>
    <t xml:space="preserve">Zaragoza</t>
  </si>
  <si>
    <t xml:space="preserve">Ceuta y Melilla</t>
  </si>
  <si>
    <t xml:space="preserve">PLURIFAMILIAR 1 - 3 plantas</t>
  </si>
  <si>
    <t xml:space="preserve">PLURIFAMILIAR ≥ 4 plantas</t>
  </si>
  <si>
    <t xml:space="preserve">ANEXO II · Rendimiento estacional por defecto de la caldera sustituida (η_i)</t>
  </si>
  <si>
    <t xml:space="preserve">En ausencia del dato real. Si se sustituyen varias calderas, tomar la de MAYOR rendimiento.</t>
  </si>
  <si>
    <t xml:space="preserve">Combustible, antigüedad y tipo de caldera</t>
  </si>
  <si>
    <t xml:space="preserve">Rendimiento</t>
  </si>
  <si>
    <t xml:space="preserve">Gas, anterior a 1979, tiro equilibrado, de pie</t>
  </si>
  <si>
    <t xml:space="preserve">Gas, de 1979 a 1997, tiro natural equilibrado y de pie</t>
  </si>
  <si>
    <t xml:space="preserve">Gas, anterior a 1998, tiro natural o equilibrado, mural</t>
  </si>
  <si>
    <t xml:space="preserve">Gas, anterior a 1998, tiro forzado con ventilador, capacidad térmica alta</t>
  </si>
  <si>
    <t xml:space="preserve">Gas, anterior a 1998, tiro forzado con ventilador, capacidad térmica baja</t>
  </si>
  <si>
    <t xml:space="preserve">Gas, anterior a 1998, condensación</t>
  </si>
  <si>
    <t xml:space="preserve">Gas, de 1998 en adelante, sin condensación, con piloto permanente</t>
  </si>
  <si>
    <t xml:space="preserve">Gas, de 1998 en adelante, condensación con piloto permanente</t>
  </si>
  <si>
    <t xml:space="preserve">Gas, de 1998 en adelante, condensación, con encendido automático</t>
  </si>
  <si>
    <t xml:space="preserve">Gasóleo, anterior a 1985</t>
  </si>
  <si>
    <t xml:space="preserve">Gasóleo, de 1985 a 1997</t>
  </si>
  <si>
    <t xml:space="preserve">Gasóleo, de 1998 en adelante, sin condensación</t>
  </si>
  <si>
    <t xml:space="preserve">Gasóleo, condensación</t>
  </si>
  <si>
    <t xml:space="preserve">Combustible sólido, alimentación manual, en espacio sin calefactar</t>
  </si>
  <si>
    <t xml:space="preserve">Combustible sólido, alimentación manual, en espacio calefactado</t>
  </si>
  <si>
    <t xml:space="preserve">Combustible sólido, alimentación automática, en espacio sin calefactar</t>
  </si>
  <si>
    <t xml:space="preserve">Combustible sólido, alimentación automática, en espacio calefactado</t>
  </si>
  <si>
    <t xml:space="preserve">Caldera eléctrica</t>
  </si>
  <si>
    <t xml:space="preserve">ANEXO I · Determinación del SCOP (referencia)</t>
  </si>
  <si>
    <t xml:space="preserve">Prelación de métodos (elige el método en «Calculadora»):</t>
  </si>
  <si>
    <t xml:space="preserve">1º SCOP del fabricante a la Tª de impulsión (suelo radiante W35 · fancoil/rad. baja Tª W45 · radiadores W55).</t>
  </si>
  <si>
    <t xml:space="preserve">2º A partir del rendimiento sobre energía primaria (η):  SCOP_cal = CC·(η_S,h + F1 + F2)  |  SCOP_dhw = CC·η_hw</t>
  </si>
  <si>
    <t xml:space="preserve">   CC=2,5 · F1=3% (aero/geo/hidro) · F2=5% (hidrotérmica circuito abierto), resto 0%.</t>
  </si>
  <si>
    <t xml:space="preserve">3º Último recurso:  SCOP = COP_nominal × FP × FC  (tablas abajo).</t>
  </si>
  <si>
    <t xml:space="preserve">Factor de ponderación (FP)</t>
  </si>
  <si>
    <t xml:space="preserve">Fuente energética</t>
  </si>
  <si>
    <t xml:space="preserve">A2</t>
  </si>
  <si>
    <t xml:space="preserve">A3</t>
  </si>
  <si>
    <t xml:space="preserve">A4</t>
  </si>
  <si>
    <t xml:space="preserve">B2</t>
  </si>
  <si>
    <t xml:space="preserve">B3</t>
  </si>
  <si>
    <t xml:space="preserve">B4</t>
  </si>
  <si>
    <t xml:space="preserve">C1</t>
  </si>
  <si>
    <t xml:space="preserve">C2</t>
  </si>
  <si>
    <t xml:space="preserve">C3</t>
  </si>
  <si>
    <t xml:space="preserve">C4</t>
  </si>
  <si>
    <t xml:space="preserve">D1</t>
  </si>
  <si>
    <t xml:space="preserve">D2</t>
  </si>
  <si>
    <t xml:space="preserve">D3</t>
  </si>
  <si>
    <t xml:space="preserve">E1</t>
  </si>
  <si>
    <t xml:space="preserve">Aerotérmica, ACS</t>
  </si>
  <si>
    <t xml:space="preserve">Aerotérmica, Calefacción</t>
  </si>
  <si>
    <t xml:space="preserve">Hidrotérmica</t>
  </si>
  <si>
    <t xml:space="preserve">Geotérmica cerrado horizontal</t>
  </si>
  <si>
    <t xml:space="preserve">Geotérmica cerrado vertical</t>
  </si>
  <si>
    <t xml:space="preserve">Geotérmica circuito abierto</t>
  </si>
  <si>
    <t xml:space="preserve">Nota: en calefacción los valores se agrupan por letra climática (A/B/C/D/E).</t>
  </si>
  <si>
    <t xml:space="preserve">Factor de corrección (FC) — Tª condensación vs Tª ensayo del COP</t>
  </si>
  <si>
    <t xml:space="preserve">Tª cond. (ºC)</t>
  </si>
  <si>
    <t xml:space="preserve">COP 35º</t>
  </si>
  <si>
    <t xml:space="preserve">COP 40º</t>
  </si>
  <si>
    <t xml:space="preserve">COP 45º</t>
  </si>
  <si>
    <t xml:space="preserve">COP 50º</t>
  </si>
  <si>
    <t xml:space="preserve">COP 55º</t>
  </si>
  <si>
    <t xml:space="preserve">COP 60º</t>
  </si>
  <si>
    <t xml:space="preserve">—</t>
  </si>
  <si>
    <t xml:space="preserve">ANEXO III · Demanda de ACS  (D_ACS = Σ Ce·ΔTi·Di)</t>
  </si>
  <si>
    <t xml:space="preserve">Rellena Di (litros/mes) y Te (Tª agua fría ºC, tabla A anexo G del DB HE-4 según capital de provincia). Tp=60ºC para demanda. Ce=0,001162 kWh/(l·ºC).</t>
  </si>
  <si>
    <t xml:space="preserve">La demanda del CEE viene en litros/día → conviértela a litros/mes (×nº días del mes).</t>
  </si>
  <si>
    <t xml:space="preserve">Mes</t>
  </si>
  <si>
    <t xml:space="preserve">Di (litros/mes)</t>
  </si>
  <si>
    <t xml:space="preserve">Tp (ºC)</t>
  </si>
  <si>
    <t xml:space="preserve">Te (ºC)</t>
  </si>
  <si>
    <t xml:space="preserve">ΔTi = Tp−Te</t>
  </si>
  <si>
    <t xml:space="preserve">Aporte mensual (kWh)</t>
  </si>
  <si>
    <t xml:space="preserve">Ce =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</si>
  <si>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</si>
  <si>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</si>
  <si>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</si>
  <si>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</si>
  <si>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</si>
  <si>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</si>
  <si>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</si>
  <si>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</si>
  <si>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</si>
  <si>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</si>
  <si>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</si>
  <si>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</si>
  <si>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PARÁMETROS Y LISTAS (edítalos para tus pruebas)</t>
  </si>
  <si>
    <t xml:space="preserve">Factor de corrección f_C — FICHA RES060FC</t>
  </si>
  <si>
    <t xml:space="preserve">Listas (no borrar)</t>
  </si>
  <si>
    <t xml:space="preserve">Edificio vivienda unifamiliar</t>
  </si>
  <si>
    <t xml:space="preserve">Anexo III (mensual)</t>
  </si>
  <si>
    <t xml:space="preserve">Plurifamiliar 1-3 plantas</t>
  </si>
  <si>
    <t xml:space="preserve">2 - Energía primaria (η)</t>
  </si>
  <si>
    <t xml:space="preserve">Bloque colectivo</t>
  </si>
  <si>
    <t xml:space="preserve">Plurifamiliar ≥4 plantas</t>
  </si>
  <si>
    <t xml:space="preserve">3 - COP nominal × FP × FC</t>
  </si>
  <si>
    <t xml:space="preserve">(Referencia) f_C según cuerpo de la RESOLUCIÓN</t>
  </si>
  <si>
    <t xml:space="preserve">Bloque / comunidad</t>
  </si>
  <si>
    <t xml:space="preserve">Paso bloque cald. indiv.→centralización BdC</t>
  </si>
  <si>
    <t xml:space="preserve">Otras constantes</t>
  </si>
  <si>
    <t xml:space="preserve">Multiplicador vulnerable severo (×)</t>
  </si>
  <si>
    <t xml:space="preserve">CC — energía primaria electricidad</t>
  </si>
  <si>
    <t xml:space="preserve">F1 — aero/geo/hidrotérmica</t>
  </si>
  <si>
    <t xml:space="preserve">F2 — hidrotérmica circuito abierto</t>
  </si>
  <si>
    <t xml:space="preserve">Tope sobre CEF (fracción)</t>
  </si>
  <si>
    <t xml:space="preserve">NOTAS · Comparativa RES060 (actual) vs RES060FC (propuesta)</t>
  </si>
  <si>
    <t xml:space="preserve">Fórmulas implementadas</t>
  </si>
  <si>
    <t xml:space="preserve">RES060FC (propuesta):</t>
  </si>
  <si>
    <t xml:space="preserve">AE_TOTAL = Mínimo(AES ; 0,70·CEF) × f_C</t>
  </si>
  <si>
    <t xml:space="preserve">AES = (D_CAL·S)·(1/η_i − 1/SCOP_bdc) + [ D_ACS·(1/η_i − 1/SCOP_dhw) ]·f_C   ← f_C SOLO multiplica al término de ACS (corregido).</t>
  </si>
  <si>
    <t xml:space="preserve">RES060 (actual, V1.1):</t>
  </si>
  <si>
    <t xml:space="preserve">AE_TOTAL = FP · [ (D_CAL·S)·(1/η_i − 1/SCOP_bdc) + D_ACS·(1/η_i − 1/SCOP_dhw) ]   (FP=1, sin tope, sin multiplicador).</t>
  </si>
  <si>
    <t xml:space="preserve">Corrección aplicada en esta versión</t>
  </si>
  <si>
    <t xml:space="preserve">• El f_C se había extendido por error a toda la suma. Según el borrador, dentro de AES el f_C multiplica ÚNICAMENTE al término de ACS (el paréntesis cierra tras SCOP_dhw). Ya está corregido. Interruptor «¿Aplicar f_C dentro de AES?» para desactivarlo.</t>
  </si>
  <si>
    <t xml:space="preserve">Principales diferencias entre ambas fichas</t>
  </si>
  <si>
    <t xml:space="preserve">• η_i: RES060 usa 0,92 fijo (rend. sobre energía final referido a PCS). RES060FC usa el Anexo II según combustible/antigüedad/tipo (55%–100%, base PCI).</t>
  </si>
  <si>
    <t xml:space="preserve">• D_CAL (calefacción): RES060 lo toma del certificado energético (CEE). RES060FC lo toma del Anexo IV (kWh/m²·año por provincia y año) × S. Por defecto la calculadora iguala ambos al Anexo IV; cambia «D_CAL del CEE» por el dato real para una comparación fiel.</t>
  </si>
  <si>
    <t xml:space="preserve">• RES060FC añade tope (Mín con 0,70·CEF) y multiplicador f_C (2 / 2,5 / 3 · ×1,5 vulnerable). RES060 no.</t>
  </si>
  <si>
    <t xml:space="preserve">• SCOP_bdc y SCOP_dhw se calculan igual en ambas (Anexo I: fabricante / energía primaria / COP·FP·FC) → se usan valores comunes para que la comparación sea limpia.</t>
  </si>
  <si>
    <t xml:space="preserve">Dudas/incoherencias del borrador RES060FC (a vigilar en la versión definitiva)</t>
  </si>
  <si>
    <t xml:space="preserve">• f_C aparece dos veces (en el término de ACS dentro de AES y de nuevo en AE_TOTAL). Probable errata; el interruptor permite anular la interna.</t>
  </si>
  <si>
    <t xml:space="preserve">• D_CAL: la tabla de variables lo define como «valor del Anexo IV × S» pero le pone unidades kWh/m²·año y la fórmula vuelve a multiplicar por S. Tomado como demanda = valor Anexo IV × S.</t>
  </si>
  <si>
    <t xml:space="preserve">• f_C piso: 2 en el cuerpo de la Resolución vs 2,5 en la ficha. Usado 2,5 (ficha); ambos en «Parámetros».</t>
  </si>
  <si>
    <t xml:space="preserve">Cómo comparar</t>
  </si>
  <si>
    <t xml:space="preserve">1) Rellena «Datos comunes» y el SCOP. 2) Ajusta η y D_CAL de cada ficha en sus secciones 3 y 4. 3) Mira la sección 5: AE_TOTAL de cada ficha, diferencia, ratio (×) y gráfico. 4) Sección 6: valor económico según precio CAE.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</si>
</sst>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"/>
    <numFmt numFmtId="166" formatCode="#,##0"/>
    <numFmt numFmtId="167" formatCode="0.00"/>
    <numFmt numFmtId="168" formatCode="0.000"/>
    <numFmt numFmtId="169" formatCode="0%"/>
    <numFmt numFmtId="170" formatCode="0.00\x"/>
    <numFmt numFmtId="171" formatCode="#,##0&quot; €&quot;"/>
    <numFmt numFmtId="172" formatCode="@"/>
    <numFmt numFmtId="173" formatCode="#,##0&quot; €&quot;"/>
    <numFmt numFmtId="174" formatCode="0.000000"/>
    <numFmt numFmtId="175" formatCode="0"/>
    <numFmt numFmtId="176" formatCode="#,##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DDEBF7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D966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AE_TOTAL (kWh/año)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Calculadora!$G$68:$G$69</c:f>
              <c:strCache>
                <c:ptCount val="2"/>
                <c:pt idx="0">
                  <c:v>RES060 actual</c:v>
                </c:pt>
                <c:pt idx="1">
                  <c:v>RES060FC</c:v>
                </c:pt>
              </c:strCache>
            </c:strRef>
          </c:cat>
          <c:val>
            <c:numRef>
              <c:f>Calculadora!$H$68:$H$69</c:f>
              <c:numCache>
                <c:formatCode>#,##0</c:formatCode>
                <c:ptCount val="2"/>
                <c:pt idx="0">
                  <c:v>7694.42621237458</c:v>
                </c:pt>
                <c:pt idx="1">
                  <c:v>15750</c:v>
                </c:pt>
              </c:numCache>
            </c:numRef>
          </c:val>
        </c:ser>
        <c:gapWidth val="150"/>
        <c:overlap val="0"/>
        <c:axId val="82939560"/>
        <c:axId val="85893760"/>
      </c:barChart>
      <c:catAx>
        <c:axId val="82939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893760"/>
        <c:crosses val="autoZero"/>
        <c:auto val="1"/>
        <c:lblAlgn val="ctr"/>
        <c:lblOffset val="100"/>
        <c:noMultiLvlLbl val="0"/>
      </c:catAx>
      <c:valAx>
        <c:axId val="858937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9395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70</xdr:row>
      <xdr:rowOff>0</xdr:rowOff>
    </xdr:from>
    <xdr:to>
      <xdr:col>10</xdr:col>
      <xdr:colOff>120960</xdr:colOff>
      <xdr:row>81</xdr:row>
      <xdr:rowOff>63720</xdr:rowOff>
    </xdr:to>
    <xdr:graphicFrame>
      <xdr:nvGraphicFramePr>
        <xdr:cNvPr id="1" name="Chart 1"/>
        <xdr:cNvGraphicFramePr/>
      </xdr:nvGraphicFramePr>
      <xdr:xfrm>
        <a:off x="10409040" y="14544720"/>
        <a:ext cx="3599280" cy="21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4" min="3" style="1" width="21"/>
    <col collapsed="false" customWidth="true" hidden="false" outlineLevel="0" max="5" min="5" style="1" width="50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24" hidden="false" customHeight="true" outlineLevel="0" collapsed="false">
      <c r="B1" s="2" t="s">
        <v>0</v>
      </c>
      <c r="C1" s="2"/>
      <c r="D1" s="2"/>
      <c r="E1" s="2"/>
    </row>
    <row r="2" customFormat="false" ht="15" hidden="false" customHeight="true" outlineLevel="0" collapsed="false">
      <c r="B2" s="3" t="s">
        <v>1</v>
      </c>
      <c r="C2" s="3"/>
      <c r="D2" s="3"/>
      <c r="E2" s="3"/>
    </row>
    <row r="3" customFormat="false" ht="15" hidden="false" customHeight="true" outlineLevel="0" collapsed="false">
      <c r="B3" s="4" t="s">
        <v>2</v>
      </c>
      <c r="C3" s="4"/>
      <c r="D3" s="4"/>
      <c r="E3" s="4"/>
    </row>
    <row r="4" customFormat="false" ht="15" hidden="false" customHeight="true" outlineLevel="0" collapsed="false">
      <c r="B4" s="5" t="s">
        <v>3</v>
      </c>
      <c r="C4" s="6" t="s">
        <v>4</v>
      </c>
      <c r="E4" s="7" t="s">
        <v>5</v>
      </c>
    </row>
    <row r="5" customFormat="false" ht="15" hidden="false" customHeight="true" outlineLevel="0" collapsed="false">
      <c r="B5" s="5" t="s">
        <v>6</v>
      </c>
      <c r="C5" s="6" t="s">
        <v>7</v>
      </c>
    </row>
    <row r="6" customFormat="false" ht="15" hidden="false" customHeight="true" outlineLevel="0" collapsed="false">
      <c r="B6" s="5" t="s">
        <v>8</v>
      </c>
      <c r="C6" s="6" t="s">
        <v>9</v>
      </c>
    </row>
    <row r="7" customFormat="false" ht="15" hidden="false" customHeight="true" outlineLevel="0" collapsed="false">
      <c r="B7" s="5" t="s">
        <v>10</v>
      </c>
      <c r="C7" s="8" t="n">
        <v>90</v>
      </c>
      <c r="E7" s="7" t="s">
        <v>11</v>
      </c>
    </row>
    <row r="8" customFormat="false" ht="15" hidden="false" customHeight="true" outlineLevel="0" collapsed="false">
      <c r="B8" s="5" t="s">
        <v>12</v>
      </c>
      <c r="C8" s="9" t="n">
        <f aca="false">CHOOSE(MATCH(C4,L_TIPO,0),INDEX(UNI_DATA,MATCH(C5,PROV_LIST,0),MATCH(C6,YEAR_HDR,0)),INDEX(P13_DATA,MATCH(C5,PROV_LIST,0),MATCH(C6,YEAR_HDR,0)),INDEX(P4_DATA,MATCH(C5,PROV_LIST,0),MATCH(C6,YEAR_HDR,0)))</f>
        <v>98.3</v>
      </c>
      <c r="E8" s="7" t="s">
        <v>13</v>
      </c>
    </row>
    <row r="9" customFormat="false" ht="15" hidden="false" customHeight="true" outlineLevel="0" collapsed="false">
      <c r="B9" s="5" t="s">
        <v>14</v>
      </c>
      <c r="C9" s="10" t="n">
        <v>9000</v>
      </c>
      <c r="E9" s="7" t="s">
        <v>15</v>
      </c>
    </row>
    <row r="10" customFormat="false" ht="15" hidden="false" customHeight="true" outlineLevel="0" collapsed="false">
      <c r="B10" s="5" t="s">
        <v>16</v>
      </c>
      <c r="C10" s="6" t="s">
        <v>17</v>
      </c>
    </row>
    <row r="11" customFormat="false" ht="15" hidden="false" customHeight="true" outlineLevel="0" collapsed="false">
      <c r="B11" s="5" t="s">
        <v>18</v>
      </c>
      <c r="C11" s="6" t="s">
        <v>17</v>
      </c>
    </row>
    <row r="12" customFormat="false" ht="15" hidden="false" customHeight="true" outlineLevel="0" collapsed="false">
      <c r="B12" s="5" t="s">
        <v>19</v>
      </c>
      <c r="C12" s="6" t="s">
        <v>20</v>
      </c>
    </row>
    <row r="13" customFormat="false" ht="15" hidden="false" customHeight="true" outlineLevel="0" collapsed="false">
      <c r="B13" s="5" t="s">
        <v>21</v>
      </c>
      <c r="C13" s="11" t="n">
        <f aca="false">DACS_ANEXO3</f>
        <v>0</v>
      </c>
      <c r="E13" s="7" t="s">
        <v>22</v>
      </c>
    </row>
    <row r="14" customFormat="false" ht="15" hidden="false" customHeight="true" outlineLevel="0" collapsed="false">
      <c r="B14" s="5" t="s">
        <v>23</v>
      </c>
      <c r="C14" s="10" t="n">
        <v>1200</v>
      </c>
    </row>
    <row r="15" customFormat="false" ht="15" hidden="false" customHeight="true" outlineLevel="0" collapsed="false">
      <c r="B15" s="5" t="s">
        <v>24</v>
      </c>
      <c r="C15" s="12" t="n">
        <f aca="false">IF(C12="Anexo III (mensual)",C13,C14)</f>
        <v>1200</v>
      </c>
    </row>
    <row r="16" customFormat="false" ht="15" hidden="false" customHeight="true" outlineLevel="0" collapsed="false">
      <c r="B16" s="4" t="s">
        <v>25</v>
      </c>
      <c r="C16" s="4"/>
      <c r="D16" s="4"/>
      <c r="E16" s="4"/>
    </row>
    <row r="17" customFormat="false" ht="15" hidden="false" customHeight="true" outlineLevel="0" collapsed="false">
      <c r="B17" s="13" t="s">
        <v>26</v>
      </c>
    </row>
    <row r="18" customFormat="false" ht="26.25" hidden="false" customHeight="true" outlineLevel="0" collapsed="false">
      <c r="B18" s="5" t="s">
        <v>27</v>
      </c>
      <c r="C18" s="6" t="s">
        <v>28</v>
      </c>
    </row>
    <row r="19" customFormat="false" ht="15" hidden="false" customHeight="true" outlineLevel="0" collapsed="false">
      <c r="B19" s="5" t="s">
        <v>29</v>
      </c>
      <c r="C19" s="14" t="n">
        <v>3.2</v>
      </c>
      <c r="E19" s="7" t="s">
        <v>30</v>
      </c>
    </row>
    <row r="20" customFormat="false" ht="15" hidden="false" customHeight="true" outlineLevel="0" collapsed="false">
      <c r="B20" s="5" t="s">
        <v>31</v>
      </c>
      <c r="C20" s="15" t="n">
        <v>1.3</v>
      </c>
      <c r="E20" s="7" t="s">
        <v>32</v>
      </c>
    </row>
    <row r="21" customFormat="false" ht="15" hidden="false" customHeight="true" outlineLevel="0" collapsed="false">
      <c r="B21" s="5" t="s">
        <v>33</v>
      </c>
      <c r="C21" s="6" t="s">
        <v>34</v>
      </c>
    </row>
    <row r="22" customFormat="false" ht="15" hidden="false" customHeight="true" outlineLevel="0" collapsed="false">
      <c r="B22" s="5" t="s">
        <v>35</v>
      </c>
      <c r="C22" s="14" t="n">
        <v>4</v>
      </c>
    </row>
    <row r="23" customFormat="false" ht="15" hidden="false" customHeight="true" outlineLevel="0" collapsed="false">
      <c r="B23" s="5" t="s">
        <v>36</v>
      </c>
      <c r="C23" s="15" t="n">
        <v>0.8</v>
      </c>
    </row>
    <row r="24" customFormat="false" ht="15" hidden="false" customHeight="true" outlineLevel="0" collapsed="false">
      <c r="B24" s="5" t="s">
        <v>37</v>
      </c>
      <c r="C24" s="14" t="n">
        <v>0.61</v>
      </c>
    </row>
    <row r="25" customFormat="false" ht="15" hidden="false" customHeight="true" outlineLevel="0" collapsed="false">
      <c r="B25" s="5" t="s">
        <v>38</v>
      </c>
      <c r="C25" s="16" t="n">
        <f aca="false">CHOOSE(MATCH(C18,L_METODO,0),C19,CC*(C20+F1+IF(C21="Sí",F2,0)),C22*C23*C24)</f>
        <v>3.2</v>
      </c>
    </row>
    <row r="26" customFormat="false" ht="15" hidden="false" customHeight="true" outlineLevel="0" collapsed="false">
      <c r="B26" s="13" t="s">
        <v>39</v>
      </c>
    </row>
    <row r="27" customFormat="false" ht="26.25" hidden="false" customHeight="true" outlineLevel="0" collapsed="false">
      <c r="B27" s="5" t="s">
        <v>40</v>
      </c>
      <c r="C27" s="6" t="s">
        <v>28</v>
      </c>
    </row>
    <row r="28" customFormat="false" ht="15" hidden="false" customHeight="true" outlineLevel="0" collapsed="false">
      <c r="B28" s="5" t="s">
        <v>41</v>
      </c>
      <c r="C28" s="14" t="n">
        <v>2.6</v>
      </c>
    </row>
    <row r="29" customFormat="false" ht="15" hidden="false" customHeight="true" outlineLevel="0" collapsed="false">
      <c r="B29" s="5" t="s">
        <v>42</v>
      </c>
      <c r="C29" s="15" t="n">
        <v>1</v>
      </c>
      <c r="E29" s="7" t="s">
        <v>43</v>
      </c>
    </row>
    <row r="30" customFormat="false" ht="15" hidden="false" customHeight="true" outlineLevel="0" collapsed="false">
      <c r="B30" s="5" t="s">
        <v>44</v>
      </c>
      <c r="C30" s="14" t="n">
        <v>3</v>
      </c>
    </row>
    <row r="31" customFormat="false" ht="15" hidden="false" customHeight="true" outlineLevel="0" collapsed="false">
      <c r="B31" s="5" t="s">
        <v>36</v>
      </c>
      <c r="C31" s="15" t="n">
        <v>1.16</v>
      </c>
    </row>
    <row r="32" customFormat="false" ht="15" hidden="false" customHeight="true" outlineLevel="0" collapsed="false">
      <c r="B32" s="5" t="s">
        <v>37</v>
      </c>
      <c r="C32" s="14" t="n">
        <v>0.55</v>
      </c>
    </row>
    <row r="33" customFormat="false" ht="15" hidden="false" customHeight="true" outlineLevel="0" collapsed="false">
      <c r="B33" s="5" t="s">
        <v>45</v>
      </c>
      <c r="C33" s="16" t="n">
        <f aca="false">CHOOSE(MATCH(C27,L_METODO,0),C28,CC*C29,C30*C31*C32)</f>
        <v>2.6</v>
      </c>
    </row>
    <row r="34" customFormat="false" ht="15" hidden="false" customHeight="true" outlineLevel="0" collapsed="false">
      <c r="B34" s="4" t="s">
        <v>46</v>
      </c>
      <c r="C34" s="4"/>
      <c r="D34" s="4"/>
      <c r="E34" s="4"/>
    </row>
    <row r="35" customFormat="false" ht="15" hidden="false" customHeight="true" outlineLevel="0" collapsed="false">
      <c r="B35" s="5" t="s">
        <v>47</v>
      </c>
      <c r="C35" s="14" t="n">
        <v>1</v>
      </c>
      <c r="E35" s="7" t="s">
        <v>48</v>
      </c>
    </row>
    <row r="36" customFormat="false" ht="15" hidden="false" customHeight="true" outlineLevel="0" collapsed="false">
      <c r="B36" s="5" t="s">
        <v>49</v>
      </c>
      <c r="C36" s="14" t="n">
        <v>0.92</v>
      </c>
      <c r="E36" s="7" t="s">
        <v>50</v>
      </c>
    </row>
    <row r="37" customFormat="false" ht="15" hidden="false" customHeight="true" outlineLevel="0" collapsed="false">
      <c r="B37" s="5" t="s">
        <v>51</v>
      </c>
      <c r="C37" s="8" t="n">
        <f aca="false">C8</f>
        <v>98.3</v>
      </c>
      <c r="E37" s="7" t="s">
        <v>52</v>
      </c>
    </row>
    <row r="38" customFormat="false" ht="15" hidden="false" customHeight="true" outlineLevel="0" collapsed="false">
      <c r="B38" s="4" t="s">
        <v>53</v>
      </c>
      <c r="C38" s="4"/>
      <c r="D38" s="4"/>
      <c r="E38" s="4"/>
    </row>
    <row r="39" customFormat="false" ht="51.75" hidden="false" customHeight="true" outlineLevel="0" collapsed="false">
      <c r="B39" s="5" t="s">
        <v>54</v>
      </c>
      <c r="C39" s="6" t="s">
        <v>55</v>
      </c>
      <c r="E39" s="7" t="s">
        <v>56</v>
      </c>
    </row>
    <row r="40" customFormat="false" ht="15" hidden="false" customHeight="true" outlineLevel="0" collapsed="false">
      <c r="B40" s="5" t="s">
        <v>57</v>
      </c>
      <c r="C40" s="17" t="n">
        <f aca="false">VLOOKUP(C39,CALD_TBL,2,FALSE())</f>
        <v>0.73</v>
      </c>
    </row>
    <row r="41" customFormat="false" ht="15" hidden="false" customHeight="true" outlineLevel="0" collapsed="false">
      <c r="B41" s="5" t="s">
        <v>58</v>
      </c>
      <c r="C41" s="18" t="n">
        <v>0</v>
      </c>
      <c r="E41" s="7" t="s">
        <v>59</v>
      </c>
    </row>
    <row r="42" customFormat="false" ht="15" hidden="false" customHeight="true" outlineLevel="0" collapsed="false">
      <c r="B42" s="5" t="s">
        <v>60</v>
      </c>
      <c r="C42" s="19" t="n">
        <f aca="false">IF(C41&gt;0,C41,C40)</f>
        <v>0.73</v>
      </c>
    </row>
    <row r="43" customFormat="false" ht="15" hidden="false" customHeight="true" outlineLevel="0" collapsed="false">
      <c r="B43" s="5" t="s">
        <v>61</v>
      </c>
      <c r="C43" s="6" t="s">
        <v>62</v>
      </c>
      <c r="E43" s="7" t="s">
        <v>63</v>
      </c>
    </row>
    <row r="44" customFormat="false" ht="15" hidden="false" customHeight="true" outlineLevel="0" collapsed="false">
      <c r="B44" s="5" t="s">
        <v>64</v>
      </c>
      <c r="C44" s="9" t="n">
        <f aca="false">VLOOKUP(C43,FC_TBL,2,FALSE())</f>
        <v>2.5</v>
      </c>
      <c r="E44" s="7" t="s">
        <v>65</v>
      </c>
    </row>
    <row r="45" customFormat="false" ht="15" hidden="false" customHeight="true" outlineLevel="0" collapsed="false">
      <c r="B45" s="5" t="s">
        <v>66</v>
      </c>
      <c r="C45" s="6" t="s">
        <v>34</v>
      </c>
    </row>
    <row r="46" customFormat="false" ht="15" hidden="false" customHeight="true" outlineLevel="0" collapsed="false">
      <c r="B46" s="5" t="s">
        <v>67</v>
      </c>
      <c r="C46" s="16" t="n">
        <f aca="false">C44*IF(C45="Sí",VULN_MULT,1)</f>
        <v>2.5</v>
      </c>
    </row>
    <row r="47" customFormat="false" ht="21.75" hidden="false" customHeight="true" outlineLevel="0" collapsed="false">
      <c r="B47" s="5" t="s">
        <v>68</v>
      </c>
      <c r="C47" s="6" t="s">
        <v>17</v>
      </c>
      <c r="E47" s="7" t="s">
        <v>69</v>
      </c>
    </row>
    <row r="49" customFormat="false" ht="15" hidden="false" customHeight="true" outlineLevel="0" collapsed="false">
      <c r="B49" s="4" t="s">
        <v>70</v>
      </c>
      <c r="C49" s="4"/>
      <c r="D49" s="4"/>
      <c r="E49" s="4"/>
    </row>
    <row r="50" customFormat="false" ht="26.25" hidden="false" customHeight="true" outlineLevel="0" collapsed="false">
      <c r="B50" s="20" t="s">
        <v>71</v>
      </c>
      <c r="C50" s="21" t="s">
        <v>72</v>
      </c>
      <c r="D50" s="21" t="s">
        <v>73</v>
      </c>
    </row>
    <row r="51" customFormat="false" ht="15" hidden="false" customHeight="true" outlineLevel="0" collapsed="false">
      <c r="B51" s="5" t="s">
        <v>74</v>
      </c>
      <c r="C51" s="22" t="n">
        <f aca="false">(C37*C7)</f>
        <v>8847</v>
      </c>
      <c r="D51" s="23" t="n">
        <f aca="false">(C8*C7)</f>
        <v>8847</v>
      </c>
    </row>
    <row r="52" customFormat="false" ht="15" hidden="false" customHeight="true" outlineLevel="0" collapsed="false">
      <c r="B52" s="5" t="s">
        <v>75</v>
      </c>
      <c r="C52" s="24" t="n">
        <f aca="false">C36</f>
        <v>0.92</v>
      </c>
      <c r="D52" s="25" t="n">
        <f aca="false">C42</f>
        <v>0.73</v>
      </c>
    </row>
    <row r="53" customFormat="false" ht="15" hidden="false" customHeight="true" outlineLevel="0" collapsed="false">
      <c r="B53" s="5" t="s">
        <v>76</v>
      </c>
      <c r="C53" s="22" t="n">
        <f aca="false">IF(C10="Sí",IFERROR((C37*C7)*((1/C36)-(1/C25)),0),0)</f>
        <v>6851.61684782609</v>
      </c>
      <c r="D53" s="23" t="n">
        <f aca="false">IF(C10="Sí",IFERROR((C8*C7)*((1/C42)-(1/C25)),0),0)</f>
        <v>9354.49058219178</v>
      </c>
    </row>
    <row r="54" customFormat="false" ht="15" hidden="false" customHeight="true" outlineLevel="0" collapsed="false">
      <c r="B54" s="5" t="s">
        <v>77</v>
      </c>
      <c r="C54" s="22" t="n">
        <f aca="false">IF(C11="Sí",IFERROR(C15*((1/C36)-(1/C33)),0),0)</f>
        <v>842.809364548495</v>
      </c>
      <c r="D54" s="23" t="n">
        <f aca="false">IF(C11="Sí",IFERROR(C15*((1/C42)-(1/C33)),0),0)</f>
        <v>1182.29715489989</v>
      </c>
    </row>
    <row r="55" customFormat="false" ht="15" hidden="false" customHeight="true" outlineLevel="0" collapsed="false">
      <c r="B55" s="5" t="s">
        <v>78</v>
      </c>
      <c r="C55" s="26" t="str">
        <f aca="false">"— (n.a.)"</f>
        <v>— (n.a.)</v>
      </c>
      <c r="D55" s="27" t="n">
        <f aca="false">C46</f>
        <v>2.5</v>
      </c>
    </row>
    <row r="56" customFormat="false" ht="15" hidden="false" customHeight="true" outlineLevel="0" collapsed="false">
      <c r="B56" s="5" t="s">
        <v>79</v>
      </c>
      <c r="C56" s="22" t="n">
        <f aca="false">C35*(IF(C10="Sí",IFERROR((C37*C7)*((1/C36)-(1/C25)),0),0)+IF(C11="Sí",IFERROR(C15*((1/C36)-(1/C33)),0),0))</f>
        <v>7694.42621237458</v>
      </c>
      <c r="D56" s="23" t="n">
        <f aca="false">(IF(C10="Sí",IFERROR((C8*C7)*((1/C42)-(1/C25)),0),0)+IF(C11="Sí",IFERROR(C15*((1/C42)-(1/C33)),0),0)*IF(C47="Sí",C46,1))</f>
        <v>12310.2334694415</v>
      </c>
    </row>
    <row r="57" customFormat="false" ht="15" hidden="false" customHeight="true" outlineLevel="0" collapsed="false">
      <c r="B57" s="5" t="s">
        <v>80</v>
      </c>
      <c r="C57" s="22" t="str">
        <f aca="false">"— (n.a.)"</f>
        <v>— (n.a.)</v>
      </c>
      <c r="D57" s="23" t="n">
        <f aca="false">TOPE*C9</f>
        <v>6300</v>
      </c>
    </row>
    <row r="58" customFormat="false" ht="15" hidden="false" customHeight="true" outlineLevel="0" collapsed="false">
      <c r="B58" s="5" t="s">
        <v>81</v>
      </c>
      <c r="C58" s="22" t="str">
        <f aca="false">"— (n.a.)"</f>
        <v>— (n.a.)</v>
      </c>
      <c r="D58" s="23" t="n">
        <f aca="false">MIN(D56,D57)</f>
        <v>6300</v>
      </c>
    </row>
    <row r="59" customFormat="false" ht="24" hidden="false" customHeight="true" outlineLevel="0" collapsed="false">
      <c r="B59" s="28" t="s">
        <v>82</v>
      </c>
      <c r="C59" s="29" t="n">
        <f aca="false">C35*(IF(C10="Sí",IFERROR((C37*C7)*((1/C36)-(1/C25)),0),0)+IF(C11="Sí",IFERROR(C15*((1/C36)-(1/C33)),0),0))</f>
        <v>7694.42621237458</v>
      </c>
      <c r="D59" s="29" t="n">
        <f aca="false">D58*C46</f>
        <v>15750</v>
      </c>
    </row>
    <row r="60" customFormat="false" ht="15" hidden="false" customHeight="true" outlineLevel="0" collapsed="false">
      <c r="B60" s="13" t="s">
        <v>83</v>
      </c>
      <c r="C60" s="30" t="n">
        <f aca="false">D59-C59</f>
        <v>8055.57378762542</v>
      </c>
      <c r="D60" s="30"/>
    </row>
    <row r="61" customFormat="false" ht="15" hidden="false" customHeight="true" outlineLevel="0" collapsed="false">
      <c r="B61" s="13" t="s">
        <v>84</v>
      </c>
      <c r="C61" s="31" t="n">
        <f aca="false">IFERROR(D59/C59,0)</f>
        <v>2.04693625817998</v>
      </c>
      <c r="D61" s="31"/>
    </row>
    <row r="63" customFormat="false" ht="15" hidden="false" customHeight="true" outlineLevel="0" collapsed="false">
      <c r="B63" s="4" t="s">
        <v>85</v>
      </c>
      <c r="C63" s="4"/>
      <c r="D63" s="4"/>
      <c r="E63" s="4"/>
    </row>
    <row r="64" customFormat="false" ht="15" hidden="false" customHeight="true" outlineLevel="0" collapsed="false">
      <c r="B64" s="5" t="s">
        <v>86</v>
      </c>
      <c r="C64" s="15" t="n">
        <v>0.05</v>
      </c>
      <c r="E64" s="7" t="s">
        <v>87</v>
      </c>
    </row>
    <row r="65" customFormat="false" ht="15" hidden="false" customHeight="true" outlineLevel="0" collapsed="false">
      <c r="B65" s="13" t="s">
        <v>88</v>
      </c>
      <c r="C65" s="32" t="n">
        <f aca="false">C59*C64</f>
        <v>384.721310618729</v>
      </c>
      <c r="D65" s="33" t="n">
        <f aca="false">D59*C64</f>
        <v>787.5</v>
      </c>
    </row>
    <row r="66" customFormat="false" ht="15" hidden="false" customHeight="true" outlineLevel="0" collapsed="false">
      <c r="B66" s="13" t="s">
        <v>89</v>
      </c>
      <c r="C66" s="34" t="n">
        <f aca="false">D65-C65</f>
        <v>402.778689381271</v>
      </c>
      <c r="D66" s="34"/>
    </row>
    <row r="68" customFormat="false" ht="15" hidden="false" customHeight="true" outlineLevel="0" collapsed="false">
      <c r="G68" s="35" t="s">
        <v>90</v>
      </c>
      <c r="H68" s="36" t="n">
        <f aca="false">C59</f>
        <v>7694.42621237458</v>
      </c>
    </row>
    <row r="69" customFormat="false" ht="15" hidden="false" customHeight="true" outlineLevel="0" collapsed="false">
      <c r="G69" s="35" t="s">
        <v>91</v>
      </c>
      <c r="H69" s="36" t="n">
        <f aca="false">D59</f>
        <v>15750</v>
      </c>
    </row>
  </sheetData>
  <mergeCells count="11">
    <mergeCell ref="B1:E1"/>
    <mergeCell ref="B2:E2"/>
    <mergeCell ref="B3:E3"/>
    <mergeCell ref="B16:E16"/>
    <mergeCell ref="B34:E34"/>
    <mergeCell ref="B38:E38"/>
    <mergeCell ref="B49:E49"/>
    <mergeCell ref="C60:D60"/>
    <mergeCell ref="C61:D61"/>
    <mergeCell ref="B63:E63"/>
    <mergeCell ref="C66:D66"/>
  </mergeCells>
  <dataValidations count="13">
    <dataValidation allowBlank="true" errorStyle="stop" operator="between" showDropDown="false" showErrorMessage="false" showInputMessage="false" sqref="C4" type="list">
      <formula1>L_TIPO</formula1>
      <formula2>0</formula2>
    </dataValidation>
    <dataValidation allowBlank="true" errorStyle="stop" operator="between" showDropDown="false" showErrorMessage="false" showInputMessage="false" sqref="C5" type="list">
      <formula1>PROV_LIST</formula1>
      <formula2>0</formula2>
    </dataValidation>
    <dataValidation allowBlank="true" errorStyle="stop" operator="between" showDropDown="false" showErrorMessage="false" showInputMessage="false" sqref="C6" type="list">
      <formula1>YEAR_HDR</formula1>
      <formula2>0</formula2>
    </dataValidation>
    <dataValidation allowBlank="true" errorStyle="stop" operator="between" showDropDown="false" showErrorMessage="false" showInputMessage="false" sqref="C10" type="list">
      <formula1>L_SINO</formula1>
      <formula2>0</formula2>
    </dataValidation>
    <dataValidation allowBlank="true" errorStyle="stop" operator="between" showDropDown="false" showErrorMessage="false" showInputMessage="false" sqref="C11" type="list">
      <formula1>L_SINO</formula1>
      <formula2>0</formula2>
    </dataValidation>
    <dataValidation allowBlank="true" errorStyle="stop" operator="between" showDropDown="false" showErrorMessage="false" showInputMessage="false" sqref="C12" type="list">
      <formula1>L_ACS</formula1>
      <formula2>0</formula2>
    </dataValidation>
    <dataValidation allowBlank="true" errorStyle="stop" operator="between" showDropDown="false" showErrorMessage="false" showInputMessage="false" sqref="C18" type="list">
      <formula1>L_METODO</formula1>
      <formula2>0</formula2>
    </dataValidation>
    <dataValidation allowBlank="true" errorStyle="stop" operator="between" showDropDown="false" showErrorMessage="false" showInputMessage="false" sqref="C21" type="list">
      <formula1>L_SINO</formula1>
      <formula2>0</formula2>
    </dataValidation>
    <dataValidation allowBlank="true" errorStyle="stop" operator="between" showDropDown="false" showErrorMessage="false" showInputMessage="false" sqref="C27" type="list">
      <formula1>L_METODO</formula1>
      <formula2>0</formula2>
    </dataValidation>
    <dataValidation allowBlank="true" errorStyle="stop" operator="between" showDropDown="false" showErrorMessage="false" showInputMessage="false" sqref="C39" type="list">
      <formula1>'Anexo II (Caldera)'!$A$4:$A$22</formula1>
      <formula2>0</formula2>
    </dataValidation>
    <dataValidation allowBlank="true" errorStyle="stop" operator="between" showDropDown="false" showErrorMessage="false" showInputMessage="false" sqref="C43" type="list">
      <formula1>L_FCNAME</formula1>
      <formula2>0</formula2>
    </dataValidation>
    <dataValidation allowBlank="true" errorStyle="stop" operator="between" showDropDown="false" showErrorMessage="false" showInputMessage="false" sqref="C45" type="list">
      <formula1>L_SINO</formula1>
      <formula2>0</formula2>
    </dataValidation>
    <dataValidation allowBlank="true" errorStyle="stop" operator="between" showDropDown="false" showErrorMessage="false" showInputMessage="false" sqref="C47" type="list">
      <formula1>L_SINO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46"/>
  </cols>
  <sheetData>
    <row r="1" customFormat="false" ht="27.75" hidden="false" customHeight="true" outlineLevel="0" collapsed="false">
      <c r="B1" s="37" t="s">
        <v>92</v>
      </c>
      <c r="C1" s="37"/>
      <c r="D1" s="37"/>
    </row>
    <row r="2" customFormat="false" ht="15" hidden="false" customHeight="false" outlineLevel="0" collapsed="false">
      <c r="B2" s="38" t="s">
        <v>93</v>
      </c>
      <c r="C2" s="38"/>
      <c r="D2" s="38"/>
    </row>
    <row r="3" customFormat="false" ht="15" hidden="false" customHeight="false" outlineLevel="0" collapsed="false">
      <c r="B3" s="39" t="s">
        <v>94</v>
      </c>
      <c r="C3" s="39"/>
      <c r="D3" s="39"/>
    </row>
    <row r="4" customFormat="false" ht="15" hidden="false" customHeight="false" outlineLevel="0" collapsed="false">
      <c r="B4" s="5" t="s">
        <v>3</v>
      </c>
      <c r="C4" s="6" t="s">
        <v>4</v>
      </c>
    </row>
    <row r="5" customFormat="false" ht="15" hidden="false" customHeight="false" outlineLevel="0" collapsed="false">
      <c r="B5" s="5" t="s">
        <v>95</v>
      </c>
      <c r="C5" s="6" t="s">
        <v>96</v>
      </c>
    </row>
    <row r="6" customFormat="false" ht="15" hidden="false" customHeight="false" outlineLevel="0" collapsed="false">
      <c r="B6" s="5" t="s">
        <v>8</v>
      </c>
      <c r="C6" s="6" t="s">
        <v>9</v>
      </c>
    </row>
    <row r="7" customFormat="false" ht="15" hidden="false" customHeight="false" outlineLevel="0" collapsed="false">
      <c r="B7" s="5" t="s">
        <v>97</v>
      </c>
      <c r="C7" s="8" t="n">
        <v>90</v>
      </c>
    </row>
    <row r="8" customFormat="false" ht="52.2" hidden="false" customHeight="false" outlineLevel="0" collapsed="false">
      <c r="B8" s="5" t="s">
        <v>54</v>
      </c>
      <c r="C8" s="6" t="s">
        <v>55</v>
      </c>
      <c r="D8" s="7" t="s">
        <v>98</v>
      </c>
    </row>
    <row r="9" customFormat="false" ht="15" hidden="false" customHeight="false" outlineLevel="0" collapsed="false">
      <c r="B9" s="5" t="s">
        <v>99</v>
      </c>
      <c r="C9" s="18" t="n">
        <v>0</v>
      </c>
    </row>
    <row r="10" customFormat="false" ht="15" hidden="false" customHeight="false" outlineLevel="0" collapsed="false">
      <c r="B10" s="5" t="s">
        <v>100</v>
      </c>
      <c r="C10" s="14" t="n">
        <v>3.2</v>
      </c>
      <c r="D10" s="7" t="s">
        <v>101</v>
      </c>
    </row>
    <row r="11" customFormat="false" ht="15" hidden="false" customHeight="false" outlineLevel="0" collapsed="false">
      <c r="B11" s="5" t="s">
        <v>18</v>
      </c>
      <c r="C11" s="6" t="s">
        <v>17</v>
      </c>
    </row>
    <row r="12" customFormat="false" ht="15" hidden="false" customHeight="false" outlineLevel="0" collapsed="false">
      <c r="B12" s="5" t="s">
        <v>102</v>
      </c>
      <c r="C12" s="10" t="n">
        <v>1200</v>
      </c>
      <c r="D12" s="7" t="s">
        <v>103</v>
      </c>
    </row>
    <row r="13" customFormat="false" ht="15" hidden="false" customHeight="false" outlineLevel="0" collapsed="false">
      <c r="B13" s="5" t="s">
        <v>104</v>
      </c>
      <c r="C13" s="14" t="n">
        <v>2.6</v>
      </c>
    </row>
    <row r="14" customFormat="false" ht="15" hidden="false" customHeight="false" outlineLevel="0" collapsed="false">
      <c r="B14" s="5" t="s">
        <v>14</v>
      </c>
      <c r="C14" s="10" t="n">
        <v>9000</v>
      </c>
      <c r="D14" s="7" t="s">
        <v>105</v>
      </c>
    </row>
    <row r="15" customFormat="false" ht="15" hidden="false" customHeight="false" outlineLevel="0" collapsed="false">
      <c r="B15" s="5" t="s">
        <v>61</v>
      </c>
      <c r="C15" s="6" t="s">
        <v>62</v>
      </c>
      <c r="D15" s="7" t="s">
        <v>106</v>
      </c>
    </row>
    <row r="16" customFormat="false" ht="15" hidden="false" customHeight="false" outlineLevel="0" collapsed="false">
      <c r="B16" s="5" t="s">
        <v>66</v>
      </c>
      <c r="C16" s="6" t="s">
        <v>34</v>
      </c>
    </row>
    <row r="17" customFormat="false" ht="15" hidden="false" customHeight="false" outlineLevel="0" collapsed="false">
      <c r="B17" s="5" t="s">
        <v>107</v>
      </c>
      <c r="C17" s="6" t="s">
        <v>17</v>
      </c>
    </row>
    <row r="18" customFormat="false" ht="15" hidden="false" customHeight="false" outlineLevel="0" collapsed="false">
      <c r="B18" s="39" t="s">
        <v>108</v>
      </c>
      <c r="C18" s="39"/>
      <c r="D18" s="39"/>
    </row>
    <row r="19" customFormat="false" ht="15" hidden="false" customHeight="false" outlineLevel="0" collapsed="false">
      <c r="B19" s="5" t="s">
        <v>109</v>
      </c>
      <c r="C19" s="9" t="n">
        <f aca="false">CHOOSE(MATCH(C4,L_TIPO,0),INDEX(UNI_DATA,MATCH(C5,PROV_LIST,0),MATCH(C6,YEAR_HDR,0)),INDEX(P13_DATA,MATCH(C5,PROV_LIST,0),MATCH(C6,YEAR_HDR,0)),INDEX(P4_DATA,MATCH(C5,PROV_LIST,0),MATCH(C6,YEAR_HDR,0)))</f>
        <v>96.4</v>
      </c>
    </row>
    <row r="20" customFormat="false" ht="15" hidden="false" customHeight="false" outlineLevel="0" collapsed="false">
      <c r="B20" s="5" t="s">
        <v>75</v>
      </c>
      <c r="C20" s="17" t="n">
        <f aca="false">IF(C9&gt;0,C9,VLOOKUP(C8,CALD_TBL,2,FALSE()))</f>
        <v>0.73</v>
      </c>
    </row>
    <row r="21" customFormat="false" ht="15" hidden="false" customHeight="false" outlineLevel="0" collapsed="false">
      <c r="B21" s="5" t="s">
        <v>78</v>
      </c>
      <c r="C21" s="40" t="n">
        <f aca="false">VLOOKUP(C15,FC_TBL,2,FALSE())*IF(C16="Sí",VULN_MULT,1)</f>
        <v>2.5</v>
      </c>
    </row>
    <row r="22" customFormat="false" ht="15" hidden="false" customHeight="false" outlineLevel="0" collapsed="false">
      <c r="B22" s="5" t="s">
        <v>74</v>
      </c>
      <c r="C22" s="41" t="n">
        <f aca="false">C19*C7</f>
        <v>8676</v>
      </c>
    </row>
    <row r="23" customFormat="false" ht="15" hidden="false" customHeight="false" outlineLevel="0" collapsed="false">
      <c r="B23" s="5" t="s">
        <v>76</v>
      </c>
      <c r="C23" s="41" t="n">
        <f aca="false">IFERROR(C22*((1/C20)-(1/C10)),0)</f>
        <v>9173.68150684931</v>
      </c>
    </row>
    <row r="24" customFormat="false" ht="15" hidden="false" customHeight="false" outlineLevel="0" collapsed="false">
      <c r="B24" s="5" t="s">
        <v>110</v>
      </c>
      <c r="C24" s="41" t="n">
        <f aca="false">IF(C11="Sí",IFERROR(C12*((1/C20)-(1/C13)),0),0)</f>
        <v>1182.29715489989</v>
      </c>
    </row>
    <row r="25" customFormat="false" ht="15" hidden="false" customHeight="false" outlineLevel="0" collapsed="false">
      <c r="B25" s="5" t="s">
        <v>111</v>
      </c>
      <c r="C25" s="12" t="n">
        <f aca="false">C23+C24*IF(C17="Sí",C21,1)</f>
        <v>12129.4243940991</v>
      </c>
    </row>
    <row r="26" customFormat="false" ht="15" hidden="false" customHeight="false" outlineLevel="0" collapsed="false">
      <c r="B26" s="5" t="s">
        <v>80</v>
      </c>
      <c r="C26" s="12" t="n">
        <f aca="false">TOPE*C14</f>
        <v>6300</v>
      </c>
    </row>
    <row r="27" customFormat="false" ht="15" hidden="false" customHeight="false" outlineLevel="0" collapsed="false">
      <c r="B27" s="5" t="s">
        <v>112</v>
      </c>
      <c r="C27" s="41" t="n">
        <f aca="false">MIN(C25,C26)</f>
        <v>6300</v>
      </c>
    </row>
    <row r="28" customFormat="false" ht="15" hidden="false" customHeight="false" outlineLevel="0" collapsed="false">
      <c r="B28" s="39" t="s">
        <v>113</v>
      </c>
      <c r="C28" s="39"/>
      <c r="D28" s="39"/>
    </row>
    <row r="29" customFormat="false" ht="25.5" hidden="false" customHeight="true" outlineLevel="0" collapsed="false">
      <c r="B29" s="28" t="s">
        <v>114</v>
      </c>
      <c r="C29" s="42" t="n">
        <f aca="false">C27*C21</f>
        <v>15750</v>
      </c>
      <c r="D29" s="7" t="s">
        <v>115</v>
      </c>
    </row>
    <row r="30" customFormat="false" ht="39.55" hidden="false" customHeight="false" outlineLevel="0" collapsed="false">
      <c r="B30" s="5" t="s">
        <v>116</v>
      </c>
      <c r="C30" s="43" t="str">
        <f aca="false">IF(C25&lt;=C26,"TECHO TÉCNICO (demanda/η/SCOP)","TOPE 70%·CEF (manda el consumo real)")</f>
        <v>TOPE 70%·CEF (manda el consumo real)</v>
      </c>
      <c r="D30" s="7" t="s">
        <v>117</v>
      </c>
    </row>
    <row r="31" customFormat="false" ht="15" hidden="false" customHeight="false" outlineLevel="0" collapsed="false">
      <c r="B31" s="5" t="s">
        <v>118</v>
      </c>
      <c r="C31" s="15" t="n">
        <v>0.05</v>
      </c>
    </row>
    <row r="32" customFormat="false" ht="25.5" hidden="false" customHeight="true" outlineLevel="0" collapsed="false">
      <c r="B32" s="28" t="s">
        <v>88</v>
      </c>
      <c r="C32" s="44" t="n">
        <f aca="false">C29*C31</f>
        <v>787.5</v>
      </c>
    </row>
  </sheetData>
  <mergeCells count="5">
    <mergeCell ref="B1:D1"/>
    <mergeCell ref="B2:D2"/>
    <mergeCell ref="B3:D3"/>
    <mergeCell ref="B18:D18"/>
    <mergeCell ref="B28:D28"/>
  </mergeCells>
  <dataValidations count="8">
    <dataValidation allowBlank="true" errorStyle="stop" operator="between" showDropDown="false" showErrorMessage="false" showInputMessage="false" sqref="C4" type="list">
      <formula1>L_TIPO</formula1>
      <formula2>0</formula2>
    </dataValidation>
    <dataValidation allowBlank="true" errorStyle="stop" operator="between" showDropDown="false" showErrorMessage="false" showInputMessage="false" sqref="C5" type="list">
      <formula1>PROV_LIST</formula1>
      <formula2>0</formula2>
    </dataValidation>
    <dataValidation allowBlank="true" errorStyle="stop" operator="between" showDropDown="false" showErrorMessage="false" showInputMessage="false" sqref="C6" type="list">
      <formula1>YEAR_HDR</formula1>
      <formula2>0</formula2>
    </dataValidation>
    <dataValidation allowBlank="true" errorStyle="stop" operator="between" showDropDown="false" showErrorMessage="false" showInputMessage="false" sqref="C8" type="list">
      <formula1>'Anexo II (Caldera)'!$A$4:$A$22</formula1>
      <formula2>0</formula2>
    </dataValidation>
    <dataValidation allowBlank="true" errorStyle="stop" operator="between" showDropDown="false" showErrorMessage="false" showInputMessage="false" sqref="C11" type="list">
      <formula1>L_SINO</formula1>
      <formula2>0</formula2>
    </dataValidation>
    <dataValidation allowBlank="true" errorStyle="stop" operator="between" showDropDown="false" showErrorMessage="false" showInputMessage="false" sqref="C15" type="list">
      <formula1>L_FCNAME</formula1>
      <formula2>0</formula2>
    </dataValidation>
    <dataValidation allowBlank="true" errorStyle="stop" operator="between" showDropDown="false" showErrorMessage="false" showInputMessage="false" sqref="C16" type="list">
      <formula1>L_SINO</formula1>
      <formula2>0</formula2>
    </dataValidation>
    <dataValidation allowBlank="true" errorStyle="stop" operator="between" showDropDown="false" showErrorMessage="false" showInputMessage="false" sqref="C17" type="list">
      <formula1>L_SINO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2" style="1" width="11"/>
  </cols>
  <sheetData>
    <row r="1" customFormat="false" ht="21.75" hidden="false" customHeight="true" outlineLevel="0" collapsed="false">
      <c r="A1" s="2" t="s">
        <v>119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45" t="s">
        <v>120</v>
      </c>
      <c r="B2" s="45"/>
      <c r="C2" s="45"/>
      <c r="D2" s="45"/>
      <c r="E2" s="45"/>
      <c r="F2" s="45"/>
      <c r="G2" s="45"/>
      <c r="H2" s="45"/>
    </row>
    <row r="4" customFormat="false" ht="15" hidden="false" customHeight="true" outlineLevel="0" collapsed="false">
      <c r="A4" s="46" t="s">
        <v>121</v>
      </c>
      <c r="B4" s="46"/>
      <c r="C4" s="46"/>
      <c r="D4" s="46"/>
      <c r="E4" s="46"/>
      <c r="F4" s="46"/>
      <c r="G4" s="46"/>
      <c r="H4" s="46"/>
    </row>
    <row r="5" customFormat="false" ht="15" hidden="false" customHeight="true" outlineLevel="0" collapsed="false">
      <c r="A5" s="20" t="s">
        <v>95</v>
      </c>
      <c r="B5" s="20" t="s">
        <v>122</v>
      </c>
      <c r="C5" s="20" t="s">
        <v>123</v>
      </c>
      <c r="D5" s="20" t="s">
        <v>124</v>
      </c>
      <c r="E5" s="20" t="s">
        <v>9</v>
      </c>
      <c r="F5" s="20" t="s">
        <v>125</v>
      </c>
      <c r="G5" s="20" t="s">
        <v>126</v>
      </c>
      <c r="H5" s="20" t="s">
        <v>127</v>
      </c>
    </row>
    <row r="6" customFormat="false" ht="15" hidden="false" customHeight="true" outlineLevel="0" collapsed="false">
      <c r="A6" s="35" t="s">
        <v>128</v>
      </c>
      <c r="B6" s="47" t="n">
        <v>240.3</v>
      </c>
      <c r="C6" s="47" t="n">
        <v>223.9</v>
      </c>
      <c r="D6" s="47" t="n">
        <v>217.4</v>
      </c>
      <c r="E6" s="47" t="n">
        <v>138.1</v>
      </c>
      <c r="F6" s="47" t="n">
        <v>94.4</v>
      </c>
      <c r="G6" s="47" t="n">
        <v>75.5</v>
      </c>
      <c r="H6" s="47" t="n">
        <v>68</v>
      </c>
    </row>
    <row r="7" customFormat="false" ht="15" hidden="false" customHeight="true" outlineLevel="0" collapsed="false">
      <c r="A7" s="35" t="s">
        <v>129</v>
      </c>
      <c r="B7" s="47" t="n">
        <v>204.6</v>
      </c>
      <c r="C7" s="47" t="n">
        <v>190</v>
      </c>
      <c r="D7" s="47" t="n">
        <v>184.2</v>
      </c>
      <c r="E7" s="47" t="n">
        <v>111.8</v>
      </c>
      <c r="F7" s="47" t="n">
        <v>73.3</v>
      </c>
      <c r="G7" s="47" t="n">
        <v>58.6</v>
      </c>
      <c r="H7" s="47" t="n">
        <v>52.8</v>
      </c>
    </row>
    <row r="8" customFormat="false" ht="15" hidden="false" customHeight="true" outlineLevel="0" collapsed="false">
      <c r="A8" s="35" t="s">
        <v>130</v>
      </c>
      <c r="B8" s="47" t="n">
        <v>84.1</v>
      </c>
      <c r="C8" s="47" t="n">
        <v>77.2</v>
      </c>
      <c r="D8" s="47" t="n">
        <v>74.4</v>
      </c>
      <c r="E8" s="47" t="n">
        <v>40.6</v>
      </c>
      <c r="F8" s="47" t="n">
        <v>22.7</v>
      </c>
      <c r="G8" s="47" t="n">
        <v>18.2</v>
      </c>
      <c r="H8" s="47" t="n">
        <v>16.3</v>
      </c>
    </row>
    <row r="9" customFormat="false" ht="15" hidden="false" customHeight="true" outlineLevel="0" collapsed="false">
      <c r="A9" s="35" t="s">
        <v>131</v>
      </c>
      <c r="B9" s="47" t="n">
        <v>60.6</v>
      </c>
      <c r="C9" s="47" t="n">
        <v>54.9</v>
      </c>
      <c r="D9" s="47" t="n">
        <v>52.6</v>
      </c>
      <c r="E9" s="47" t="n">
        <v>27.1</v>
      </c>
      <c r="F9" s="47" t="n">
        <v>13.9</v>
      </c>
      <c r="G9" s="47" t="n">
        <v>11.1</v>
      </c>
      <c r="H9" s="47" t="n">
        <v>10</v>
      </c>
    </row>
    <row r="10" customFormat="false" ht="15" hidden="false" customHeight="true" outlineLevel="0" collapsed="false">
      <c r="A10" s="35" t="s">
        <v>132</v>
      </c>
      <c r="B10" s="47" t="n">
        <v>270.1</v>
      </c>
      <c r="C10" s="47" t="n">
        <v>251.9</v>
      </c>
      <c r="D10" s="47" t="n">
        <v>244.5</v>
      </c>
      <c r="E10" s="47" t="n">
        <v>152.7</v>
      </c>
      <c r="F10" s="47" t="n">
        <v>103.8</v>
      </c>
      <c r="G10" s="47" t="n">
        <v>83</v>
      </c>
      <c r="H10" s="47" t="n">
        <v>74.7</v>
      </c>
    </row>
    <row r="11" customFormat="false" ht="15" hidden="false" customHeight="true" outlineLevel="0" collapsed="false">
      <c r="A11" s="35" t="s">
        <v>133</v>
      </c>
      <c r="B11" s="47" t="n">
        <v>126.1</v>
      </c>
      <c r="C11" s="47" t="n">
        <v>116.8</v>
      </c>
      <c r="D11" s="47" t="n">
        <v>113</v>
      </c>
      <c r="E11" s="47" t="n">
        <v>66.8</v>
      </c>
      <c r="F11" s="47" t="n">
        <v>41.8</v>
      </c>
      <c r="G11" s="47" t="n">
        <v>33.4</v>
      </c>
      <c r="H11" s="47" t="n">
        <v>30.1</v>
      </c>
    </row>
    <row r="12" customFormat="false" ht="15" hidden="false" customHeight="true" outlineLevel="0" collapsed="false">
      <c r="A12" s="35" t="s">
        <v>134</v>
      </c>
      <c r="B12" s="47" t="n">
        <v>85.7</v>
      </c>
      <c r="C12" s="47" t="n">
        <v>78.7</v>
      </c>
      <c r="D12" s="47" t="n">
        <v>75.8</v>
      </c>
      <c r="E12" s="47" t="n">
        <v>41.6</v>
      </c>
      <c r="F12" s="47" t="n">
        <v>22.9</v>
      </c>
      <c r="G12" s="47" t="n">
        <v>18.3</v>
      </c>
      <c r="H12" s="47" t="n">
        <v>16.5</v>
      </c>
    </row>
    <row r="13" customFormat="false" ht="15" hidden="false" customHeight="true" outlineLevel="0" collapsed="false">
      <c r="A13" s="35" t="s">
        <v>135</v>
      </c>
      <c r="B13" s="47" t="n">
        <v>135.4</v>
      </c>
      <c r="C13" s="47" t="n">
        <v>125.2</v>
      </c>
      <c r="D13" s="47" t="n">
        <v>121.1</v>
      </c>
      <c r="E13" s="47" t="n">
        <v>71.4</v>
      </c>
      <c r="F13" s="47" t="n">
        <v>45.2</v>
      </c>
      <c r="G13" s="47" t="n">
        <v>36.2</v>
      </c>
      <c r="H13" s="47" t="n">
        <v>32.5</v>
      </c>
    </row>
    <row r="14" customFormat="false" ht="15" hidden="false" customHeight="true" outlineLevel="0" collapsed="false">
      <c r="A14" s="35" t="s">
        <v>136</v>
      </c>
      <c r="B14" s="47" t="n">
        <v>269.5</v>
      </c>
      <c r="C14" s="47" t="n">
        <v>251.4</v>
      </c>
      <c r="D14" s="47" t="n">
        <v>244.1</v>
      </c>
      <c r="E14" s="47" t="n">
        <v>152.9</v>
      </c>
      <c r="F14" s="47" t="n">
        <v>104.4</v>
      </c>
      <c r="G14" s="47" t="n">
        <v>83.5</v>
      </c>
      <c r="H14" s="47" t="n">
        <v>75.2</v>
      </c>
    </row>
    <row r="15" customFormat="false" ht="15" hidden="false" customHeight="true" outlineLevel="0" collapsed="false">
      <c r="A15" s="35" t="s">
        <v>137</v>
      </c>
      <c r="B15" s="47" t="n">
        <v>148</v>
      </c>
      <c r="C15" s="47" t="n">
        <v>137.1</v>
      </c>
      <c r="D15" s="47" t="n">
        <v>132.6</v>
      </c>
      <c r="E15" s="47" t="n">
        <v>79</v>
      </c>
      <c r="F15" s="47" t="n">
        <v>51</v>
      </c>
      <c r="G15" s="47" t="n">
        <v>40.8</v>
      </c>
      <c r="H15" s="47" t="n">
        <v>36.7</v>
      </c>
    </row>
    <row r="16" customFormat="false" ht="15" hidden="false" customHeight="true" outlineLevel="0" collapsed="false">
      <c r="A16" s="35" t="s">
        <v>138</v>
      </c>
      <c r="B16" s="47" t="n">
        <v>58.5</v>
      </c>
      <c r="C16" s="47" t="n">
        <v>53</v>
      </c>
      <c r="D16" s="47" t="n">
        <v>50.7</v>
      </c>
      <c r="E16" s="47" t="n">
        <v>25.3</v>
      </c>
      <c r="F16" s="47" t="n">
        <v>12.8</v>
      </c>
      <c r="G16" s="47" t="n">
        <v>10.2</v>
      </c>
      <c r="H16" s="47" t="n">
        <v>9.2</v>
      </c>
    </row>
    <row r="17" customFormat="false" ht="15" hidden="false" customHeight="true" outlineLevel="0" collapsed="false">
      <c r="A17" s="35" t="s">
        <v>139</v>
      </c>
      <c r="B17" s="47" t="n">
        <v>104.8</v>
      </c>
      <c r="C17" s="47" t="n">
        <v>96.6</v>
      </c>
      <c r="D17" s="47" t="n">
        <v>93.3</v>
      </c>
      <c r="E17" s="47" t="n">
        <v>53.3</v>
      </c>
      <c r="F17" s="47" t="n">
        <v>31.4</v>
      </c>
      <c r="G17" s="47" t="n">
        <v>25.1</v>
      </c>
      <c r="H17" s="47" t="n">
        <v>22.6</v>
      </c>
    </row>
    <row r="18" customFormat="false" ht="15" hidden="false" customHeight="true" outlineLevel="0" collapsed="false">
      <c r="A18" s="35" t="s">
        <v>96</v>
      </c>
      <c r="B18" s="47" t="n">
        <v>176.9</v>
      </c>
      <c r="C18" s="47" t="n">
        <v>164.2</v>
      </c>
      <c r="D18" s="47" t="n">
        <v>159.1</v>
      </c>
      <c r="E18" s="47" t="n">
        <v>96.4</v>
      </c>
      <c r="F18" s="47" t="n">
        <v>62.7</v>
      </c>
      <c r="G18" s="47" t="n">
        <v>50.2</v>
      </c>
      <c r="H18" s="47" t="n">
        <v>45.1</v>
      </c>
    </row>
    <row r="19" customFormat="false" ht="15" hidden="false" customHeight="true" outlineLevel="0" collapsed="false">
      <c r="A19" s="35" t="s">
        <v>140</v>
      </c>
      <c r="B19" s="47" t="n">
        <v>110.7</v>
      </c>
      <c r="C19" s="47" t="n">
        <v>102.2</v>
      </c>
      <c r="D19" s="47" t="n">
        <v>98.8</v>
      </c>
      <c r="E19" s="47" t="n">
        <v>57</v>
      </c>
      <c r="F19" s="47" t="n">
        <v>34.6</v>
      </c>
      <c r="G19" s="47" t="n">
        <v>27.7</v>
      </c>
      <c r="H19" s="47" t="n">
        <v>24.9</v>
      </c>
    </row>
    <row r="20" customFormat="false" ht="15" hidden="false" customHeight="true" outlineLevel="0" collapsed="false">
      <c r="A20" s="35" t="s">
        <v>141</v>
      </c>
      <c r="B20" s="47" t="n">
        <v>136.9</v>
      </c>
      <c r="C20" s="47" t="n">
        <v>126.5</v>
      </c>
      <c r="D20" s="47" t="n">
        <v>122.3</v>
      </c>
      <c r="E20" s="47" t="n">
        <v>70.9</v>
      </c>
      <c r="F20" s="47" t="n">
        <v>43.1</v>
      </c>
      <c r="G20" s="47" t="n">
        <v>34.5</v>
      </c>
      <c r="H20" s="47" t="n">
        <v>31</v>
      </c>
    </row>
    <row r="21" customFormat="false" ht="15" hidden="false" customHeight="true" outlineLevel="0" collapsed="false">
      <c r="A21" s="35" t="s">
        <v>142</v>
      </c>
      <c r="B21" s="47" t="n">
        <v>231.2</v>
      </c>
      <c r="C21" s="47" t="n">
        <v>215.2</v>
      </c>
      <c r="D21" s="47" t="n">
        <v>208.8</v>
      </c>
      <c r="E21" s="47" t="n">
        <v>128.7</v>
      </c>
      <c r="F21" s="47" t="n">
        <v>85.9</v>
      </c>
      <c r="G21" s="47" t="n">
        <v>68.7</v>
      </c>
      <c r="H21" s="47" t="n">
        <v>61.8</v>
      </c>
    </row>
    <row r="22" customFormat="false" ht="15" hidden="false" customHeight="true" outlineLevel="0" collapsed="false">
      <c r="A22" s="35" t="s">
        <v>143</v>
      </c>
      <c r="B22" s="47" t="n">
        <v>177.9</v>
      </c>
      <c r="C22" s="47" t="n">
        <v>164.9</v>
      </c>
      <c r="D22" s="47" t="n">
        <v>159.7</v>
      </c>
      <c r="E22" s="47" t="n">
        <v>95.4</v>
      </c>
      <c r="F22" s="47" t="n">
        <v>62</v>
      </c>
      <c r="G22" s="47" t="n">
        <v>49.6</v>
      </c>
      <c r="H22" s="47" t="n">
        <v>44.6</v>
      </c>
    </row>
    <row r="23" customFormat="false" ht="15" hidden="false" customHeight="true" outlineLevel="0" collapsed="false">
      <c r="A23" s="35" t="s">
        <v>144</v>
      </c>
      <c r="B23" s="47" t="n">
        <v>165.4</v>
      </c>
      <c r="C23" s="47" t="n">
        <v>153</v>
      </c>
      <c r="D23" s="47" t="n">
        <v>148</v>
      </c>
      <c r="E23" s="47" t="n">
        <v>88.2</v>
      </c>
      <c r="F23" s="47" t="n">
        <v>56.9</v>
      </c>
      <c r="G23" s="47" t="n">
        <v>45.5</v>
      </c>
      <c r="H23" s="47" t="n">
        <v>41</v>
      </c>
    </row>
    <row r="24" customFormat="false" ht="15" hidden="false" customHeight="true" outlineLevel="0" collapsed="false">
      <c r="A24" s="35" t="s">
        <v>145</v>
      </c>
      <c r="B24" s="47" t="n">
        <v>216.1</v>
      </c>
      <c r="C24" s="47" t="n">
        <v>200.8</v>
      </c>
      <c r="D24" s="47" t="n">
        <v>194.7</v>
      </c>
      <c r="E24" s="47" t="n">
        <v>118.9</v>
      </c>
      <c r="F24" s="47" t="n">
        <v>78.3</v>
      </c>
      <c r="G24" s="47" t="n">
        <v>62.6</v>
      </c>
      <c r="H24" s="47" t="n">
        <v>56.4</v>
      </c>
    </row>
    <row r="25" customFormat="false" ht="15" hidden="false" customHeight="true" outlineLevel="0" collapsed="false">
      <c r="A25" s="35" t="s">
        <v>146</v>
      </c>
      <c r="B25" s="47" t="n">
        <v>180.2</v>
      </c>
      <c r="C25" s="47" t="n">
        <v>167.3</v>
      </c>
      <c r="D25" s="47" t="n">
        <v>162.1</v>
      </c>
      <c r="E25" s="47" t="n">
        <v>98</v>
      </c>
      <c r="F25" s="47" t="n">
        <v>63.6</v>
      </c>
      <c r="G25" s="47" t="n">
        <v>50.9</v>
      </c>
      <c r="H25" s="47" t="n">
        <v>45.8</v>
      </c>
    </row>
    <row r="26" customFormat="false" ht="15" hidden="false" customHeight="true" outlineLevel="0" collapsed="false">
      <c r="A26" s="35" t="s">
        <v>147</v>
      </c>
      <c r="B26" s="47" t="n">
        <v>86.2</v>
      </c>
      <c r="C26" s="47" t="n">
        <v>79.1</v>
      </c>
      <c r="D26" s="47" t="n">
        <v>76.2</v>
      </c>
      <c r="E26" s="47" t="n">
        <v>41.7</v>
      </c>
      <c r="F26" s="47" t="n">
        <v>23.5</v>
      </c>
      <c r="G26" s="47" t="n">
        <v>18.8</v>
      </c>
      <c r="H26" s="47" t="n">
        <v>16.9</v>
      </c>
    </row>
    <row r="27" customFormat="false" ht="15" hidden="false" customHeight="true" outlineLevel="0" collapsed="false">
      <c r="A27" s="35" t="s">
        <v>148</v>
      </c>
      <c r="B27" s="47" t="n">
        <v>203.5</v>
      </c>
      <c r="C27" s="47" t="n">
        <v>189</v>
      </c>
      <c r="D27" s="47" t="n">
        <v>183.1</v>
      </c>
      <c r="E27" s="47" t="n">
        <v>111</v>
      </c>
      <c r="F27" s="47" t="n">
        <v>72.9</v>
      </c>
      <c r="G27" s="47" t="n">
        <v>58.3</v>
      </c>
      <c r="H27" s="47" t="n">
        <v>52.5</v>
      </c>
    </row>
    <row r="28" customFormat="false" ht="15" hidden="false" customHeight="true" outlineLevel="0" collapsed="false">
      <c r="A28" s="35" t="s">
        <v>149</v>
      </c>
      <c r="B28" s="47" t="n">
        <v>129.3</v>
      </c>
      <c r="C28" s="47" t="n">
        <v>119.7</v>
      </c>
      <c r="D28" s="47" t="n">
        <v>115.9</v>
      </c>
      <c r="E28" s="47" t="n">
        <v>68.5</v>
      </c>
      <c r="F28" s="47" t="n">
        <v>42.8</v>
      </c>
      <c r="G28" s="47" t="n">
        <v>34.2</v>
      </c>
      <c r="H28" s="47" t="n">
        <v>30.8</v>
      </c>
    </row>
    <row r="29" customFormat="false" ht="15" hidden="false" customHeight="true" outlineLevel="0" collapsed="false">
      <c r="A29" s="35" t="s">
        <v>150</v>
      </c>
      <c r="B29" s="47" t="n">
        <v>260.5</v>
      </c>
      <c r="C29" s="47" t="n">
        <v>242.8</v>
      </c>
      <c r="D29" s="47" t="n">
        <v>235.7</v>
      </c>
      <c r="E29" s="47" t="n">
        <v>147</v>
      </c>
      <c r="F29" s="47" t="n">
        <v>99.7</v>
      </c>
      <c r="G29" s="47" t="n">
        <v>79.8</v>
      </c>
      <c r="H29" s="47" t="n">
        <v>71.8</v>
      </c>
    </row>
    <row r="30" customFormat="false" ht="15" hidden="false" customHeight="true" outlineLevel="0" collapsed="false">
      <c r="A30" s="35" t="s">
        <v>151</v>
      </c>
      <c r="B30" s="47" t="n">
        <v>184</v>
      </c>
      <c r="C30" s="47" t="n">
        <v>171</v>
      </c>
      <c r="D30" s="47" t="n">
        <v>165.7</v>
      </c>
      <c r="E30" s="47" t="n">
        <v>100.9</v>
      </c>
      <c r="F30" s="47" t="n">
        <v>66.2</v>
      </c>
      <c r="G30" s="47" t="n">
        <v>53</v>
      </c>
      <c r="H30" s="47" t="n">
        <v>47.7</v>
      </c>
    </row>
    <row r="31" customFormat="false" ht="15" hidden="false" customHeight="true" outlineLevel="0" collapsed="false">
      <c r="A31" s="35" t="s">
        <v>152</v>
      </c>
      <c r="B31" s="47" t="n">
        <v>201.4</v>
      </c>
      <c r="C31" s="47" t="n">
        <v>187.1</v>
      </c>
      <c r="D31" s="47" t="n">
        <v>181.4</v>
      </c>
      <c r="E31" s="47" t="n">
        <v>110.5</v>
      </c>
      <c r="F31" s="47" t="n">
        <v>72.6</v>
      </c>
      <c r="G31" s="47" t="n">
        <v>58.1</v>
      </c>
      <c r="H31" s="47" t="n">
        <v>52.3</v>
      </c>
    </row>
    <row r="32" customFormat="false" ht="15" hidden="false" customHeight="true" outlineLevel="0" collapsed="false">
      <c r="A32" s="35" t="s">
        <v>153</v>
      </c>
      <c r="B32" s="47" t="n">
        <v>225</v>
      </c>
      <c r="C32" s="47" t="n">
        <v>209.5</v>
      </c>
      <c r="D32" s="47" t="n">
        <v>203.3</v>
      </c>
      <c r="E32" s="47" t="n">
        <v>125.6</v>
      </c>
      <c r="F32" s="47" t="n">
        <v>84.2</v>
      </c>
      <c r="G32" s="47" t="n">
        <v>67.4</v>
      </c>
      <c r="H32" s="47" t="n">
        <v>60.6</v>
      </c>
    </row>
    <row r="33" customFormat="false" ht="15" hidden="false" customHeight="true" outlineLevel="0" collapsed="false">
      <c r="A33" s="35" t="s">
        <v>7</v>
      </c>
      <c r="B33" s="47" t="n">
        <v>182.4</v>
      </c>
      <c r="C33" s="47" t="n">
        <v>169.1</v>
      </c>
      <c r="D33" s="47" t="n">
        <v>163.7</v>
      </c>
      <c r="E33" s="47" t="n">
        <v>98.3</v>
      </c>
      <c r="F33" s="47" t="n">
        <v>64</v>
      </c>
      <c r="G33" s="47" t="n">
        <v>51.2</v>
      </c>
      <c r="H33" s="47" t="n">
        <v>46.1</v>
      </c>
    </row>
    <row r="34" customFormat="false" ht="15" hidden="false" customHeight="true" outlineLevel="0" collapsed="false">
      <c r="A34" s="35" t="s">
        <v>154</v>
      </c>
      <c r="B34" s="47" t="n">
        <v>74.5</v>
      </c>
      <c r="C34" s="47" t="n">
        <v>68</v>
      </c>
      <c r="D34" s="47" t="n">
        <v>65.4</v>
      </c>
      <c r="E34" s="47" t="n">
        <v>34.5</v>
      </c>
      <c r="F34" s="47" t="n">
        <v>18.5</v>
      </c>
      <c r="G34" s="47" t="n">
        <v>14.8</v>
      </c>
      <c r="H34" s="47" t="n">
        <v>13.3</v>
      </c>
    </row>
    <row r="35" customFormat="false" ht="15" hidden="false" customHeight="true" outlineLevel="0" collapsed="false">
      <c r="A35" s="35" t="s">
        <v>155</v>
      </c>
      <c r="B35" s="47" t="n">
        <v>93.2</v>
      </c>
      <c r="C35" s="47" t="n">
        <v>85.7</v>
      </c>
      <c r="D35" s="47" t="n">
        <v>82.7</v>
      </c>
      <c r="E35" s="47" t="n">
        <v>46.1</v>
      </c>
      <c r="F35" s="47" t="n">
        <v>27.3</v>
      </c>
      <c r="G35" s="47" t="n">
        <v>21.8</v>
      </c>
      <c r="H35" s="47" t="n">
        <v>19.7</v>
      </c>
    </row>
    <row r="36" customFormat="false" ht="15" hidden="false" customHeight="true" outlineLevel="0" collapsed="false">
      <c r="A36" s="35" t="s">
        <v>156</v>
      </c>
      <c r="B36" s="47" t="n">
        <v>222.3</v>
      </c>
      <c r="C36" s="47" t="n">
        <v>207</v>
      </c>
      <c r="D36" s="47" t="n">
        <v>200.8</v>
      </c>
      <c r="E36" s="47" t="n">
        <v>123.8</v>
      </c>
      <c r="F36" s="47" t="n">
        <v>82.7</v>
      </c>
      <c r="G36" s="47" t="n">
        <v>66.2</v>
      </c>
      <c r="H36" s="47" t="n">
        <v>59.5</v>
      </c>
    </row>
    <row r="37" customFormat="false" ht="15" hidden="false" customHeight="true" outlineLevel="0" collapsed="false">
      <c r="A37" s="35" t="s">
        <v>157</v>
      </c>
      <c r="B37" s="47" t="n">
        <v>167.2</v>
      </c>
      <c r="C37" s="47" t="n">
        <v>155</v>
      </c>
      <c r="D37" s="47" t="n">
        <v>150.1</v>
      </c>
      <c r="E37" s="47" t="n">
        <v>89.5</v>
      </c>
      <c r="F37" s="47" t="n">
        <v>57.4</v>
      </c>
      <c r="G37" s="47" t="n">
        <v>45.9</v>
      </c>
      <c r="H37" s="47" t="n">
        <v>41.3</v>
      </c>
    </row>
    <row r="38" customFormat="false" ht="15" hidden="false" customHeight="true" outlineLevel="0" collapsed="false">
      <c r="A38" s="35" t="s">
        <v>158</v>
      </c>
      <c r="B38" s="47" t="n">
        <v>186.3</v>
      </c>
      <c r="C38" s="47" t="n">
        <v>173</v>
      </c>
      <c r="D38" s="47" t="n">
        <v>167.7</v>
      </c>
      <c r="E38" s="47" t="n">
        <v>101.6</v>
      </c>
      <c r="F38" s="47" t="n">
        <v>66.1</v>
      </c>
      <c r="G38" s="47" t="n">
        <v>52.9</v>
      </c>
      <c r="H38" s="47" t="n">
        <v>47.6</v>
      </c>
    </row>
    <row r="39" customFormat="false" ht="15" hidden="false" customHeight="true" outlineLevel="0" collapsed="false">
      <c r="A39" s="35" t="s">
        <v>159</v>
      </c>
      <c r="B39" s="47" t="n">
        <v>256.4</v>
      </c>
      <c r="C39" s="47" t="n">
        <v>238.9</v>
      </c>
      <c r="D39" s="47" t="n">
        <v>231.9</v>
      </c>
      <c r="E39" s="47" t="n">
        <v>144.3</v>
      </c>
      <c r="F39" s="47" t="n">
        <v>97.5</v>
      </c>
      <c r="G39" s="47" t="n">
        <v>78</v>
      </c>
      <c r="H39" s="47" t="n">
        <v>70.2</v>
      </c>
    </row>
    <row r="40" customFormat="false" ht="15" hidden="false" customHeight="true" outlineLevel="0" collapsed="false">
      <c r="A40" s="35" t="s">
        <v>160</v>
      </c>
      <c r="B40" s="47" t="n">
        <v>0</v>
      </c>
      <c r="C40" s="47" t="n">
        <v>0</v>
      </c>
      <c r="D40" s="47" t="n">
        <v>0</v>
      </c>
      <c r="E40" s="47" t="n">
        <v>0</v>
      </c>
      <c r="F40" s="47" t="n">
        <v>0</v>
      </c>
      <c r="G40" s="47" t="n">
        <v>0</v>
      </c>
      <c r="H40" s="47" t="n">
        <v>0</v>
      </c>
    </row>
    <row r="41" customFormat="false" ht="15" hidden="false" customHeight="true" outlineLevel="0" collapsed="false">
      <c r="A41" s="35" t="s">
        <v>161</v>
      </c>
      <c r="B41" s="47" t="n">
        <v>147.6</v>
      </c>
      <c r="C41" s="47" t="n">
        <v>136.5</v>
      </c>
      <c r="D41" s="47" t="n">
        <v>132.1</v>
      </c>
      <c r="E41" s="47" t="n">
        <v>77.3</v>
      </c>
      <c r="F41" s="47" t="n">
        <v>47.9</v>
      </c>
      <c r="G41" s="47" t="n">
        <v>38.3</v>
      </c>
      <c r="H41" s="47" t="n">
        <v>34.5</v>
      </c>
    </row>
    <row r="42" customFormat="false" ht="15" hidden="false" customHeight="true" outlineLevel="0" collapsed="false">
      <c r="A42" s="35" t="s">
        <v>162</v>
      </c>
      <c r="B42" s="47" t="n">
        <v>240</v>
      </c>
      <c r="C42" s="47" t="n">
        <v>223.4</v>
      </c>
      <c r="D42" s="47" t="n">
        <v>216.7</v>
      </c>
      <c r="E42" s="47" t="n">
        <v>133.9</v>
      </c>
      <c r="F42" s="47" t="n">
        <v>89.5</v>
      </c>
      <c r="G42" s="47" t="n">
        <v>71.6</v>
      </c>
      <c r="H42" s="47" t="n">
        <v>64.4</v>
      </c>
    </row>
    <row r="43" customFormat="false" ht="15" hidden="false" customHeight="true" outlineLevel="0" collapsed="false">
      <c r="A43" s="35" t="s">
        <v>163</v>
      </c>
      <c r="B43" s="47" t="n">
        <v>0</v>
      </c>
      <c r="C43" s="47" t="n">
        <v>0</v>
      </c>
      <c r="D43" s="47" t="n">
        <v>0</v>
      </c>
      <c r="E43" s="47" t="n">
        <v>0</v>
      </c>
      <c r="F43" s="47" t="n">
        <v>0</v>
      </c>
      <c r="G43" s="47" t="n">
        <v>0</v>
      </c>
      <c r="H43" s="47" t="n">
        <v>0</v>
      </c>
    </row>
    <row r="44" customFormat="false" ht="15" hidden="false" customHeight="true" outlineLevel="0" collapsed="false">
      <c r="A44" s="35" t="s">
        <v>164</v>
      </c>
      <c r="B44" s="47" t="n">
        <v>154.3</v>
      </c>
      <c r="C44" s="47" t="n">
        <v>142.9</v>
      </c>
      <c r="D44" s="47" t="n">
        <v>138.3</v>
      </c>
      <c r="E44" s="47" t="n">
        <v>81.8</v>
      </c>
      <c r="F44" s="47" t="n">
        <v>51.5</v>
      </c>
      <c r="G44" s="47" t="n">
        <v>41.2</v>
      </c>
      <c r="H44" s="47" t="n">
        <v>37.1</v>
      </c>
    </row>
    <row r="45" customFormat="false" ht="15" hidden="false" customHeight="true" outlineLevel="0" collapsed="false">
      <c r="A45" s="35" t="s">
        <v>165</v>
      </c>
      <c r="B45" s="47" t="n">
        <v>239</v>
      </c>
      <c r="C45" s="47" t="n">
        <v>222.5</v>
      </c>
      <c r="D45" s="47" t="n">
        <v>215.9</v>
      </c>
      <c r="E45" s="47" t="n">
        <v>133.5</v>
      </c>
      <c r="F45" s="47" t="n">
        <v>89.4</v>
      </c>
      <c r="G45" s="47" t="n">
        <v>71.5</v>
      </c>
      <c r="H45" s="47" t="n">
        <v>64.4</v>
      </c>
    </row>
    <row r="46" customFormat="false" ht="15" hidden="false" customHeight="true" outlineLevel="0" collapsed="false">
      <c r="A46" s="35" t="s">
        <v>166</v>
      </c>
      <c r="B46" s="47" t="n">
        <v>80.4</v>
      </c>
      <c r="C46" s="47" t="n">
        <v>73.6</v>
      </c>
      <c r="D46" s="47" t="n">
        <v>71</v>
      </c>
      <c r="E46" s="47" t="n">
        <v>39.7</v>
      </c>
      <c r="F46" s="47" t="n">
        <v>22.7</v>
      </c>
      <c r="G46" s="47" t="n">
        <v>18.2</v>
      </c>
      <c r="H46" s="47" t="n">
        <v>16.3</v>
      </c>
    </row>
    <row r="47" customFormat="false" ht="15" hidden="false" customHeight="true" outlineLevel="0" collapsed="false">
      <c r="A47" s="35" t="s">
        <v>167</v>
      </c>
      <c r="B47" s="47" t="n">
        <v>265.3</v>
      </c>
      <c r="C47" s="47" t="n">
        <v>247.3</v>
      </c>
      <c r="D47" s="47" t="n">
        <v>240.1</v>
      </c>
      <c r="E47" s="47" t="n">
        <v>149.9</v>
      </c>
      <c r="F47" s="47" t="n">
        <v>101.8</v>
      </c>
      <c r="G47" s="47" t="n">
        <v>81.4</v>
      </c>
      <c r="H47" s="47" t="n">
        <v>73.3</v>
      </c>
    </row>
    <row r="48" customFormat="false" ht="15" hidden="false" customHeight="true" outlineLevel="0" collapsed="false">
      <c r="A48" s="35" t="s">
        <v>168</v>
      </c>
      <c r="B48" s="47" t="n">
        <v>133.9</v>
      </c>
      <c r="C48" s="47" t="n">
        <v>123.7</v>
      </c>
      <c r="D48" s="47" t="n">
        <v>119.7</v>
      </c>
      <c r="E48" s="47" t="n">
        <v>71.2</v>
      </c>
      <c r="F48" s="47" t="n">
        <v>44.9</v>
      </c>
      <c r="G48" s="47" t="n">
        <v>35.9</v>
      </c>
      <c r="H48" s="47" t="n">
        <v>32.3</v>
      </c>
    </row>
    <row r="49" customFormat="false" ht="15" hidden="false" customHeight="true" outlineLevel="0" collapsed="false">
      <c r="A49" s="35" t="s">
        <v>169</v>
      </c>
      <c r="B49" s="47" t="n">
        <v>243.5</v>
      </c>
      <c r="C49" s="47" t="n">
        <v>226.7</v>
      </c>
      <c r="D49" s="47" t="n">
        <v>219.9</v>
      </c>
      <c r="E49" s="47" t="n">
        <v>135.9</v>
      </c>
      <c r="F49" s="47" t="n">
        <v>90.8</v>
      </c>
      <c r="G49" s="47" t="n">
        <v>72.6</v>
      </c>
      <c r="H49" s="47" t="n">
        <v>65.4</v>
      </c>
    </row>
    <row r="50" customFormat="false" ht="15" hidden="false" customHeight="true" outlineLevel="0" collapsed="false">
      <c r="A50" s="35" t="s">
        <v>170</v>
      </c>
      <c r="B50" s="47" t="n">
        <v>170.6</v>
      </c>
      <c r="C50" s="47" t="n">
        <v>158.3</v>
      </c>
      <c r="D50" s="47" t="n">
        <v>153.4</v>
      </c>
      <c r="E50" s="47" t="n">
        <v>92.6</v>
      </c>
      <c r="F50" s="47" t="n">
        <v>60.2</v>
      </c>
      <c r="G50" s="47" t="n">
        <v>48.2</v>
      </c>
      <c r="H50" s="47" t="n">
        <v>43.3</v>
      </c>
    </row>
    <row r="51" customFormat="false" ht="15" hidden="false" customHeight="true" outlineLevel="0" collapsed="false">
      <c r="A51" s="35" t="s">
        <v>171</v>
      </c>
      <c r="B51" s="47" t="n">
        <v>83.2</v>
      </c>
      <c r="C51" s="47" t="n">
        <v>76.3</v>
      </c>
      <c r="D51" s="47" t="n">
        <v>73.6</v>
      </c>
      <c r="E51" s="47" t="n">
        <v>40.2</v>
      </c>
      <c r="F51" s="47" t="n">
        <v>22.7</v>
      </c>
      <c r="G51" s="47" t="n">
        <v>18.2</v>
      </c>
      <c r="H51" s="47" t="n">
        <v>16.3</v>
      </c>
    </row>
    <row r="52" customFormat="false" ht="15" hidden="false" customHeight="true" outlineLevel="0" collapsed="false">
      <c r="A52" s="35" t="s">
        <v>172</v>
      </c>
      <c r="B52" s="47" t="n">
        <v>230.7</v>
      </c>
      <c r="C52" s="47" t="n">
        <v>214.7</v>
      </c>
      <c r="D52" s="47" t="n">
        <v>208.3</v>
      </c>
      <c r="E52" s="47" t="n">
        <v>128.3</v>
      </c>
      <c r="F52" s="47" t="n">
        <v>85.4</v>
      </c>
      <c r="G52" s="47" t="n">
        <v>68.3</v>
      </c>
      <c r="H52" s="47" t="n">
        <v>61.5</v>
      </c>
    </row>
    <row r="53" customFormat="false" ht="15" hidden="false" customHeight="true" outlineLevel="0" collapsed="false">
      <c r="A53" s="35" t="s">
        <v>173</v>
      </c>
      <c r="B53" s="47" t="n">
        <v>155.3</v>
      </c>
      <c r="C53" s="47" t="n">
        <v>143.9</v>
      </c>
      <c r="D53" s="47" t="n">
        <v>139.2</v>
      </c>
      <c r="E53" s="47" t="n">
        <v>82.5</v>
      </c>
      <c r="F53" s="47" t="n">
        <v>52.4</v>
      </c>
      <c r="G53" s="47" t="n">
        <v>41.9</v>
      </c>
      <c r="H53" s="47" t="n">
        <v>37.7</v>
      </c>
    </row>
    <row r="54" customFormat="false" ht="15" hidden="false" customHeight="true" outlineLevel="0" collapsed="false">
      <c r="A54" s="35" t="s">
        <v>174</v>
      </c>
      <c r="B54" s="47" t="n">
        <v>220.1</v>
      </c>
      <c r="C54" s="47" t="n">
        <v>204.7</v>
      </c>
      <c r="D54" s="47" t="n">
        <v>198.4</v>
      </c>
      <c r="E54" s="47" t="n">
        <v>121.6</v>
      </c>
      <c r="F54" s="47" t="n">
        <v>80.3</v>
      </c>
      <c r="G54" s="47" t="n">
        <v>64.2</v>
      </c>
      <c r="H54" s="47" t="n">
        <v>57.8</v>
      </c>
    </row>
    <row r="55" customFormat="false" ht="15" hidden="false" customHeight="true" outlineLevel="0" collapsed="false">
      <c r="A55" s="35" t="s">
        <v>175</v>
      </c>
      <c r="B55" s="47" t="n">
        <v>169.7</v>
      </c>
      <c r="C55" s="47" t="n">
        <v>157.5</v>
      </c>
      <c r="D55" s="47" t="n">
        <v>152.6</v>
      </c>
      <c r="E55" s="47" t="n">
        <v>92</v>
      </c>
      <c r="F55" s="47" t="n">
        <v>59.7</v>
      </c>
      <c r="G55" s="47" t="n">
        <v>47.8</v>
      </c>
      <c r="H55" s="47" t="n">
        <v>43</v>
      </c>
    </row>
    <row r="56" customFormat="false" ht="15" hidden="false" customHeight="true" outlineLevel="0" collapsed="false">
      <c r="A56" s="35" t="s">
        <v>176</v>
      </c>
      <c r="B56" s="47" t="n">
        <v>0</v>
      </c>
      <c r="C56" s="47" t="n">
        <v>0</v>
      </c>
      <c r="D56" s="47" t="n">
        <v>0</v>
      </c>
      <c r="E56" s="47" t="n">
        <v>0</v>
      </c>
      <c r="F56" s="47" t="n">
        <v>0</v>
      </c>
      <c r="G56" s="47" t="n">
        <v>0</v>
      </c>
      <c r="H56" s="47" t="n">
        <v>0</v>
      </c>
    </row>
    <row r="58" customFormat="false" ht="15" hidden="false" customHeight="true" outlineLevel="0" collapsed="false">
      <c r="A58" s="46" t="s">
        <v>177</v>
      </c>
      <c r="B58" s="46"/>
      <c r="C58" s="46"/>
      <c r="D58" s="46"/>
      <c r="E58" s="46"/>
      <c r="F58" s="46"/>
      <c r="G58" s="46"/>
      <c r="H58" s="46"/>
    </row>
    <row r="59" customFormat="false" ht="15" hidden="false" customHeight="true" outlineLevel="0" collapsed="false">
      <c r="A59" s="20" t="s">
        <v>95</v>
      </c>
      <c r="B59" s="20" t="s">
        <v>122</v>
      </c>
      <c r="C59" s="20" t="s">
        <v>123</v>
      </c>
      <c r="D59" s="20" t="s">
        <v>124</v>
      </c>
      <c r="E59" s="20" t="s">
        <v>9</v>
      </c>
      <c r="F59" s="20" t="s">
        <v>125</v>
      </c>
      <c r="G59" s="20" t="s">
        <v>126</v>
      </c>
      <c r="H59" s="20" t="s">
        <v>127</v>
      </c>
    </row>
    <row r="60" customFormat="false" ht="15" hidden="false" customHeight="true" outlineLevel="0" collapsed="false">
      <c r="A60" s="35" t="s">
        <v>128</v>
      </c>
      <c r="B60" s="47" t="n">
        <v>173</v>
      </c>
      <c r="C60" s="47" t="n">
        <v>163.1</v>
      </c>
      <c r="D60" s="47" t="n">
        <v>116.3</v>
      </c>
      <c r="E60" s="47" t="n">
        <v>85.4</v>
      </c>
      <c r="F60" s="47" t="n">
        <v>58.6</v>
      </c>
      <c r="G60" s="47" t="n">
        <v>46.9</v>
      </c>
      <c r="H60" s="47" t="n">
        <v>42.2</v>
      </c>
    </row>
    <row r="61" customFormat="false" ht="15" hidden="false" customHeight="true" outlineLevel="0" collapsed="false">
      <c r="A61" s="35" t="s">
        <v>129</v>
      </c>
      <c r="B61" s="47" t="n">
        <v>145.6</v>
      </c>
      <c r="C61" s="47" t="n">
        <v>136.9</v>
      </c>
      <c r="D61" s="47" t="n">
        <v>95.2</v>
      </c>
      <c r="E61" s="47" t="n">
        <v>68.7</v>
      </c>
      <c r="F61" s="47" t="n">
        <v>45.9</v>
      </c>
      <c r="G61" s="47" t="n">
        <v>36.7</v>
      </c>
      <c r="H61" s="47" t="n">
        <v>33</v>
      </c>
    </row>
    <row r="62" customFormat="false" ht="15" hidden="false" customHeight="true" outlineLevel="0" collapsed="false">
      <c r="A62" s="35" t="s">
        <v>130</v>
      </c>
      <c r="B62" s="47" t="n">
        <v>56.9</v>
      </c>
      <c r="C62" s="47" t="n">
        <v>52.7</v>
      </c>
      <c r="D62" s="47" t="n">
        <v>32.7</v>
      </c>
      <c r="E62" s="47" t="n">
        <v>21.3</v>
      </c>
      <c r="F62" s="47" t="n">
        <v>11.5</v>
      </c>
      <c r="G62" s="47" t="n">
        <v>9.2</v>
      </c>
      <c r="H62" s="47" t="n">
        <v>8.3</v>
      </c>
    </row>
    <row r="63" customFormat="false" ht="15" hidden="false" customHeight="true" outlineLevel="0" collapsed="false">
      <c r="A63" s="35" t="s">
        <v>131</v>
      </c>
      <c r="B63" s="47" t="n">
        <v>39.4</v>
      </c>
      <c r="C63" s="47" t="n">
        <v>36.2</v>
      </c>
      <c r="D63" s="47" t="n">
        <v>21.6</v>
      </c>
      <c r="E63" s="47" t="n">
        <v>13.2</v>
      </c>
      <c r="F63" s="47" t="n">
        <v>6.2</v>
      </c>
      <c r="G63" s="47" t="n">
        <v>5</v>
      </c>
      <c r="H63" s="47" t="n">
        <v>4.5</v>
      </c>
    </row>
    <row r="64" customFormat="false" ht="15" hidden="false" customHeight="true" outlineLevel="0" collapsed="false">
      <c r="A64" s="35" t="s">
        <v>132</v>
      </c>
      <c r="B64" s="47" t="n">
        <v>195.1</v>
      </c>
      <c r="C64" s="47" t="n">
        <v>184.1</v>
      </c>
      <c r="D64" s="47" t="n">
        <v>131.7</v>
      </c>
      <c r="E64" s="47" t="n">
        <v>97.2</v>
      </c>
      <c r="F64" s="47" t="n">
        <v>67.2</v>
      </c>
      <c r="G64" s="47" t="n">
        <v>53.8</v>
      </c>
      <c r="H64" s="47" t="n">
        <v>48.4</v>
      </c>
    </row>
    <row r="65" customFormat="false" ht="15" hidden="false" customHeight="true" outlineLevel="0" collapsed="false">
      <c r="A65" s="35" t="s">
        <v>133</v>
      </c>
      <c r="B65" s="47" t="n">
        <v>88.6</v>
      </c>
      <c r="C65" s="47" t="n">
        <v>83</v>
      </c>
      <c r="D65" s="47" t="n">
        <v>56.2</v>
      </c>
      <c r="E65" s="47" t="n">
        <v>39.2</v>
      </c>
      <c r="F65" s="47" t="n">
        <v>24.3</v>
      </c>
      <c r="G65" s="47" t="n">
        <v>19.4</v>
      </c>
      <c r="H65" s="47" t="n">
        <v>17.5</v>
      </c>
    </row>
    <row r="66" customFormat="false" ht="15" hidden="false" customHeight="true" outlineLevel="0" collapsed="false">
      <c r="A66" s="35" t="s">
        <v>134</v>
      </c>
      <c r="B66" s="47" t="n">
        <v>58.1</v>
      </c>
      <c r="C66" s="47" t="n">
        <v>53.9</v>
      </c>
      <c r="D66" s="47" t="n">
        <v>33.6</v>
      </c>
      <c r="E66" s="47" t="n">
        <v>21.5</v>
      </c>
      <c r="F66" s="47" t="n">
        <v>11.6</v>
      </c>
      <c r="G66" s="47" t="n">
        <v>9.3</v>
      </c>
      <c r="H66" s="47" t="n">
        <v>8.4</v>
      </c>
    </row>
    <row r="67" customFormat="false" ht="15" hidden="false" customHeight="true" outlineLevel="0" collapsed="false">
      <c r="A67" s="35" t="s">
        <v>135</v>
      </c>
      <c r="B67" s="47" t="n">
        <v>94.5</v>
      </c>
      <c r="C67" s="47" t="n">
        <v>88.4</v>
      </c>
      <c r="D67" s="47" t="n">
        <v>60.3</v>
      </c>
      <c r="E67" s="47" t="n">
        <v>42.4</v>
      </c>
      <c r="F67" s="47" t="n">
        <v>26.4</v>
      </c>
      <c r="G67" s="47" t="n">
        <v>21.1</v>
      </c>
      <c r="H67" s="47" t="n">
        <v>19</v>
      </c>
    </row>
    <row r="68" customFormat="false" ht="15" hidden="false" customHeight="true" outlineLevel="0" collapsed="false">
      <c r="A68" s="35" t="s">
        <v>136</v>
      </c>
      <c r="B68" s="47" t="n">
        <v>194.8</v>
      </c>
      <c r="C68" s="47" t="n">
        <v>183.9</v>
      </c>
      <c r="D68" s="47" t="n">
        <v>132.1</v>
      </c>
      <c r="E68" s="47" t="n">
        <v>97.7</v>
      </c>
      <c r="F68" s="47" t="n">
        <v>68</v>
      </c>
      <c r="G68" s="47" t="n">
        <v>54.4</v>
      </c>
      <c r="H68" s="47" t="n">
        <v>49</v>
      </c>
    </row>
    <row r="69" customFormat="false" ht="15" hidden="false" customHeight="true" outlineLevel="0" collapsed="false">
      <c r="A69" s="35" t="s">
        <v>137</v>
      </c>
      <c r="B69" s="47" t="n">
        <v>104.1</v>
      </c>
      <c r="C69" s="47" t="n">
        <v>97.5</v>
      </c>
      <c r="D69" s="47" t="n">
        <v>67.1</v>
      </c>
      <c r="E69" s="47" t="n">
        <v>47.8</v>
      </c>
      <c r="F69" s="47" t="n">
        <v>30.6</v>
      </c>
      <c r="G69" s="47" t="n">
        <v>24.5</v>
      </c>
      <c r="H69" s="47" t="n">
        <v>22</v>
      </c>
    </row>
    <row r="70" customFormat="false" ht="15" hidden="false" customHeight="true" outlineLevel="0" collapsed="false">
      <c r="A70" s="35" t="s">
        <v>138</v>
      </c>
      <c r="B70" s="47" t="n">
        <v>37.6</v>
      </c>
      <c r="C70" s="47" t="n">
        <v>34.2</v>
      </c>
      <c r="D70" s="47" t="n">
        <v>20</v>
      </c>
      <c r="E70" s="47" t="n">
        <v>12.1</v>
      </c>
      <c r="F70" s="47" t="n">
        <v>5.8</v>
      </c>
      <c r="G70" s="47" t="n">
        <v>4.6</v>
      </c>
      <c r="H70" s="47" t="n">
        <v>4.2</v>
      </c>
    </row>
    <row r="71" customFormat="false" ht="15" hidden="false" customHeight="true" outlineLevel="0" collapsed="false">
      <c r="A71" s="35" t="s">
        <v>139</v>
      </c>
      <c r="B71" s="47" t="n">
        <v>72.4</v>
      </c>
      <c r="C71" s="47" t="n">
        <v>67.5</v>
      </c>
      <c r="D71" s="47" t="n">
        <v>44</v>
      </c>
      <c r="E71" s="47" t="n">
        <v>29.5</v>
      </c>
      <c r="F71" s="47" t="n">
        <v>17</v>
      </c>
      <c r="G71" s="47" t="n">
        <v>13.6</v>
      </c>
      <c r="H71" s="47" t="n">
        <v>12.2</v>
      </c>
    </row>
    <row r="72" customFormat="false" ht="15" hidden="false" customHeight="true" outlineLevel="0" collapsed="false">
      <c r="A72" s="35" t="s">
        <v>96</v>
      </c>
      <c r="B72" s="47" t="n">
        <v>125.7</v>
      </c>
      <c r="C72" s="47" t="n">
        <v>118.1</v>
      </c>
      <c r="D72" s="47" t="n">
        <v>82</v>
      </c>
      <c r="E72" s="47" t="n">
        <v>58.8</v>
      </c>
      <c r="F72" s="47" t="n">
        <v>38.9</v>
      </c>
      <c r="G72" s="47" t="n">
        <v>31.1</v>
      </c>
      <c r="H72" s="47" t="n">
        <v>28</v>
      </c>
    </row>
    <row r="73" customFormat="false" ht="15" hidden="false" customHeight="true" outlineLevel="0" collapsed="false">
      <c r="A73" s="35" t="s">
        <v>140</v>
      </c>
      <c r="B73" s="47" t="n">
        <v>76.9</v>
      </c>
      <c r="C73" s="47" t="n">
        <v>71.8</v>
      </c>
      <c r="D73" s="47" t="n">
        <v>47.4</v>
      </c>
      <c r="E73" s="47" t="n">
        <v>32.5</v>
      </c>
      <c r="F73" s="47" t="n">
        <v>19.7</v>
      </c>
      <c r="G73" s="47" t="n">
        <v>15.8</v>
      </c>
      <c r="H73" s="47" t="n">
        <v>14.2</v>
      </c>
    </row>
    <row r="74" customFormat="false" ht="15" hidden="false" customHeight="true" outlineLevel="0" collapsed="false">
      <c r="A74" s="35" t="s">
        <v>141</v>
      </c>
      <c r="B74" s="47" t="n">
        <v>95.1</v>
      </c>
      <c r="C74" s="47" t="n">
        <v>88.9</v>
      </c>
      <c r="D74" s="47" t="n">
        <v>59.1</v>
      </c>
      <c r="E74" s="47" t="n">
        <v>40.2</v>
      </c>
      <c r="F74" s="47" t="n">
        <v>24</v>
      </c>
      <c r="G74" s="47" t="n">
        <v>19.2</v>
      </c>
      <c r="H74" s="47" t="n">
        <v>17.3</v>
      </c>
    </row>
    <row r="75" customFormat="false" ht="15" hidden="false" customHeight="true" outlineLevel="0" collapsed="false">
      <c r="A75" s="35" t="s">
        <v>142</v>
      </c>
      <c r="B75" s="47" t="n">
        <v>165.8</v>
      </c>
      <c r="C75" s="47" t="n">
        <v>156.2</v>
      </c>
      <c r="D75" s="47" t="n">
        <v>110.4</v>
      </c>
      <c r="E75" s="47" t="n">
        <v>80.5</v>
      </c>
      <c r="F75" s="47" t="n">
        <v>54.2</v>
      </c>
      <c r="G75" s="47" t="n">
        <v>43.4</v>
      </c>
      <c r="H75" s="47" t="n">
        <v>39</v>
      </c>
    </row>
    <row r="76" customFormat="false" ht="15" hidden="false" customHeight="true" outlineLevel="0" collapsed="false">
      <c r="A76" s="35" t="s">
        <v>143</v>
      </c>
      <c r="B76" s="47" t="n">
        <v>125.6</v>
      </c>
      <c r="C76" s="47" t="n">
        <v>117.8</v>
      </c>
      <c r="D76" s="47" t="n">
        <v>80.8</v>
      </c>
      <c r="E76" s="47" t="n">
        <v>58.1</v>
      </c>
      <c r="F76" s="47" t="n">
        <v>38.6</v>
      </c>
      <c r="G76" s="47" t="n">
        <v>30.9</v>
      </c>
      <c r="H76" s="47" t="n">
        <v>27.8</v>
      </c>
    </row>
    <row r="77" customFormat="false" ht="15" hidden="false" customHeight="true" outlineLevel="0" collapsed="false">
      <c r="A77" s="35" t="s">
        <v>144</v>
      </c>
      <c r="B77" s="47" t="n">
        <v>116.1</v>
      </c>
      <c r="C77" s="47" t="n">
        <v>108.8</v>
      </c>
      <c r="D77" s="47" t="n">
        <v>74.7</v>
      </c>
      <c r="E77" s="47" t="n">
        <v>53.5</v>
      </c>
      <c r="F77" s="47" t="n">
        <v>34.8</v>
      </c>
      <c r="G77" s="47" t="n">
        <v>27.8</v>
      </c>
      <c r="H77" s="47" t="n">
        <v>25.1</v>
      </c>
    </row>
    <row r="78" customFormat="false" ht="15" hidden="false" customHeight="true" outlineLevel="0" collapsed="false">
      <c r="A78" s="35" t="s">
        <v>145</v>
      </c>
      <c r="B78" s="47" t="n">
        <v>154.2</v>
      </c>
      <c r="C78" s="47" t="n">
        <v>145.1</v>
      </c>
      <c r="D78" s="47" t="n">
        <v>101.5</v>
      </c>
      <c r="E78" s="47" t="n">
        <v>73.4</v>
      </c>
      <c r="F78" s="47" t="n">
        <v>49.4</v>
      </c>
      <c r="G78" s="47" t="n">
        <v>39.5</v>
      </c>
      <c r="H78" s="47" t="n">
        <v>35.6</v>
      </c>
    </row>
    <row r="79" customFormat="false" ht="15" hidden="false" customHeight="true" outlineLevel="0" collapsed="false">
      <c r="A79" s="35" t="s">
        <v>146</v>
      </c>
      <c r="B79" s="47" t="n">
        <v>127.8</v>
      </c>
      <c r="C79" s="47" t="n">
        <v>120.1</v>
      </c>
      <c r="D79" s="47" t="n">
        <v>83.3</v>
      </c>
      <c r="E79" s="47" t="n">
        <v>59.4</v>
      </c>
      <c r="F79" s="47" t="n">
        <v>38.5</v>
      </c>
      <c r="G79" s="47" t="n">
        <v>30.8</v>
      </c>
      <c r="H79" s="47" t="n">
        <v>27.7</v>
      </c>
    </row>
    <row r="80" customFormat="false" ht="15" hidden="false" customHeight="true" outlineLevel="0" collapsed="false">
      <c r="A80" s="35" t="s">
        <v>147</v>
      </c>
      <c r="B80" s="47" t="n">
        <v>58.4</v>
      </c>
      <c r="C80" s="47" t="n">
        <v>54.1</v>
      </c>
      <c r="D80" s="47" t="n">
        <v>33.7</v>
      </c>
      <c r="E80" s="47" t="n">
        <v>22.1</v>
      </c>
      <c r="F80" s="47" t="n">
        <v>11.9</v>
      </c>
      <c r="G80" s="47" t="n">
        <v>9.5</v>
      </c>
      <c r="H80" s="47" t="n">
        <v>8.6</v>
      </c>
    </row>
    <row r="81" customFormat="false" ht="15" hidden="false" customHeight="true" outlineLevel="0" collapsed="false">
      <c r="A81" s="35" t="s">
        <v>148</v>
      </c>
      <c r="B81" s="47" t="n">
        <v>144.8</v>
      </c>
      <c r="C81" s="47" t="n">
        <v>136</v>
      </c>
      <c r="D81" s="47" t="n">
        <v>94.5</v>
      </c>
      <c r="E81" s="47" t="n">
        <v>68.4</v>
      </c>
      <c r="F81" s="47" t="n">
        <v>45.8</v>
      </c>
      <c r="G81" s="47" t="n">
        <v>36.6</v>
      </c>
      <c r="H81" s="47" t="n">
        <v>33</v>
      </c>
    </row>
    <row r="82" customFormat="false" ht="15" hidden="false" customHeight="true" outlineLevel="0" collapsed="false">
      <c r="A82" s="35" t="s">
        <v>149</v>
      </c>
      <c r="B82" s="47" t="n">
        <v>90.9</v>
      </c>
      <c r="C82" s="47" t="n">
        <v>85.1</v>
      </c>
      <c r="D82" s="47" t="n">
        <v>57.6</v>
      </c>
      <c r="E82" s="47" t="n">
        <v>40.2</v>
      </c>
      <c r="F82" s="47" t="n">
        <v>24.5</v>
      </c>
      <c r="G82" s="47" t="n">
        <v>19.6</v>
      </c>
      <c r="H82" s="47" t="n">
        <v>17.6</v>
      </c>
    </row>
    <row r="83" customFormat="false" ht="15" hidden="false" customHeight="true" outlineLevel="0" collapsed="false">
      <c r="A83" s="35" t="s">
        <v>150</v>
      </c>
      <c r="B83" s="47" t="n">
        <v>187.9</v>
      </c>
      <c r="C83" s="47" t="n">
        <v>177.3</v>
      </c>
      <c r="D83" s="47" t="n">
        <v>126.7</v>
      </c>
      <c r="E83" s="47" t="n">
        <v>93.4</v>
      </c>
      <c r="F83" s="47" t="n">
        <v>64.4</v>
      </c>
      <c r="G83" s="47" t="n">
        <v>51.5</v>
      </c>
      <c r="H83" s="47" t="n">
        <v>46.4</v>
      </c>
    </row>
    <row r="84" customFormat="false" ht="15" hidden="false" customHeight="true" outlineLevel="0" collapsed="false">
      <c r="A84" s="35" t="s">
        <v>151</v>
      </c>
      <c r="B84" s="47" t="n">
        <v>131.1</v>
      </c>
      <c r="C84" s="47" t="n">
        <v>123.3</v>
      </c>
      <c r="D84" s="47" t="n">
        <v>86</v>
      </c>
      <c r="E84" s="47" t="n">
        <v>62</v>
      </c>
      <c r="F84" s="47" t="n">
        <v>41.5</v>
      </c>
      <c r="G84" s="47" t="n">
        <v>33.2</v>
      </c>
      <c r="H84" s="47" t="n">
        <v>29.9</v>
      </c>
    </row>
    <row r="85" customFormat="false" ht="15" hidden="false" customHeight="true" outlineLevel="0" collapsed="false">
      <c r="A85" s="35" t="s">
        <v>152</v>
      </c>
      <c r="B85" s="47" t="n">
        <v>143.5</v>
      </c>
      <c r="C85" s="47" t="n">
        <v>134.9</v>
      </c>
      <c r="D85" s="47" t="n">
        <v>94.2</v>
      </c>
      <c r="E85" s="47" t="n">
        <v>67.9</v>
      </c>
      <c r="F85" s="47" t="n">
        <v>45.6</v>
      </c>
      <c r="G85" s="47" t="n">
        <v>36.5</v>
      </c>
      <c r="H85" s="47" t="n">
        <v>32.8</v>
      </c>
    </row>
    <row r="86" customFormat="false" ht="15" hidden="false" customHeight="true" outlineLevel="0" collapsed="false">
      <c r="A86" s="35" t="s">
        <v>153</v>
      </c>
      <c r="B86" s="47" t="n">
        <v>161.4</v>
      </c>
      <c r="C86" s="47" t="n">
        <v>152.1</v>
      </c>
      <c r="D86" s="47" t="n">
        <v>107.8</v>
      </c>
      <c r="E86" s="47" t="n">
        <v>78.7</v>
      </c>
      <c r="F86" s="47" t="n">
        <v>53.3</v>
      </c>
      <c r="G86" s="47" t="n">
        <v>42.6</v>
      </c>
      <c r="H86" s="47" t="n">
        <v>38.4</v>
      </c>
    </row>
    <row r="87" customFormat="false" ht="15" hidden="false" customHeight="true" outlineLevel="0" collapsed="false">
      <c r="A87" s="35" t="s">
        <v>7</v>
      </c>
      <c r="B87" s="47" t="n">
        <v>128.9</v>
      </c>
      <c r="C87" s="47" t="n">
        <v>120.8</v>
      </c>
      <c r="D87" s="47" t="n">
        <v>83.7</v>
      </c>
      <c r="E87" s="47" t="n">
        <v>60</v>
      </c>
      <c r="F87" s="47" t="n">
        <v>39.2</v>
      </c>
      <c r="G87" s="47" t="n">
        <v>31.4</v>
      </c>
      <c r="H87" s="47" t="n">
        <v>28.2</v>
      </c>
    </row>
    <row r="88" customFormat="false" ht="15" hidden="false" customHeight="true" outlineLevel="0" collapsed="false">
      <c r="A88" s="35" t="s">
        <v>154</v>
      </c>
      <c r="B88" s="47" t="n">
        <v>49.6</v>
      </c>
      <c r="C88" s="47" t="n">
        <v>45.7</v>
      </c>
      <c r="D88" s="47" t="n">
        <v>27.4</v>
      </c>
      <c r="E88" s="47" t="n">
        <v>17.4</v>
      </c>
      <c r="F88" s="47" t="n">
        <v>8.6</v>
      </c>
      <c r="G88" s="47" t="n">
        <v>6.9</v>
      </c>
      <c r="H88" s="47" t="n">
        <v>6.2</v>
      </c>
    </row>
    <row r="89" customFormat="false" ht="15" hidden="false" customHeight="true" outlineLevel="0" collapsed="false">
      <c r="A89" s="35" t="s">
        <v>155</v>
      </c>
      <c r="B89" s="47" t="n">
        <v>63.7</v>
      </c>
      <c r="C89" s="47" t="n">
        <v>59.2</v>
      </c>
      <c r="D89" s="47" t="n">
        <v>38.1</v>
      </c>
      <c r="E89" s="47" t="n">
        <v>25.7</v>
      </c>
      <c r="F89" s="47" t="n">
        <v>14.3</v>
      </c>
      <c r="G89" s="47" t="n">
        <v>11.4</v>
      </c>
      <c r="H89" s="47" t="n">
        <v>10.3</v>
      </c>
    </row>
    <row r="90" customFormat="false" ht="15" hidden="false" customHeight="true" outlineLevel="0" collapsed="false">
      <c r="A90" s="35" t="s">
        <v>156</v>
      </c>
      <c r="B90" s="47" t="n">
        <v>159.4</v>
      </c>
      <c r="C90" s="47" t="n">
        <v>150.1</v>
      </c>
      <c r="D90" s="47" t="n">
        <v>106.2</v>
      </c>
      <c r="E90" s="47" t="n">
        <v>77.3</v>
      </c>
      <c r="F90" s="47" t="n">
        <v>52.1</v>
      </c>
      <c r="G90" s="47" t="n">
        <v>41.7</v>
      </c>
      <c r="H90" s="47" t="n">
        <v>37.5</v>
      </c>
    </row>
    <row r="91" customFormat="false" ht="15" hidden="false" customHeight="true" outlineLevel="0" collapsed="false">
      <c r="A91" s="35" t="s">
        <v>157</v>
      </c>
      <c r="B91" s="47" t="n">
        <v>117.9</v>
      </c>
      <c r="C91" s="47" t="n">
        <v>110.5</v>
      </c>
      <c r="D91" s="47" t="n">
        <v>75.6</v>
      </c>
      <c r="E91" s="47" t="n">
        <v>53.6</v>
      </c>
      <c r="F91" s="47" t="n">
        <v>34.9</v>
      </c>
      <c r="G91" s="47" t="n">
        <v>27.9</v>
      </c>
      <c r="H91" s="47" t="n">
        <v>25.1</v>
      </c>
    </row>
    <row r="92" customFormat="false" ht="15" hidden="false" customHeight="true" outlineLevel="0" collapsed="false">
      <c r="A92" s="35" t="s">
        <v>158</v>
      </c>
      <c r="B92" s="47" t="n">
        <v>132.3</v>
      </c>
      <c r="C92" s="47" t="n">
        <v>124.3</v>
      </c>
      <c r="D92" s="47" t="n">
        <v>86.4</v>
      </c>
      <c r="E92" s="47" t="n">
        <v>61.7</v>
      </c>
      <c r="F92" s="47" t="n">
        <v>40</v>
      </c>
      <c r="G92" s="47" t="n">
        <v>32</v>
      </c>
      <c r="H92" s="47" t="n">
        <v>28.8</v>
      </c>
    </row>
    <row r="93" customFormat="false" ht="15" hidden="false" customHeight="true" outlineLevel="0" collapsed="false">
      <c r="A93" s="35" t="s">
        <v>159</v>
      </c>
      <c r="B93" s="47" t="n">
        <v>184.7</v>
      </c>
      <c r="C93" s="47" t="n">
        <v>174.2</v>
      </c>
      <c r="D93" s="47" t="n">
        <v>124.2</v>
      </c>
      <c r="E93" s="47" t="n">
        <v>91.4</v>
      </c>
      <c r="F93" s="47" t="n">
        <v>62.7</v>
      </c>
      <c r="G93" s="47" t="n">
        <v>50.2</v>
      </c>
      <c r="H93" s="47" t="n">
        <v>45.1</v>
      </c>
    </row>
    <row r="94" customFormat="false" ht="15" hidden="false" customHeight="true" outlineLevel="0" collapsed="false">
      <c r="A94" s="35" t="s">
        <v>160</v>
      </c>
      <c r="B94" s="47" t="n">
        <v>0</v>
      </c>
      <c r="C94" s="47" t="n">
        <v>0</v>
      </c>
      <c r="D94" s="47" t="n">
        <v>0</v>
      </c>
      <c r="E94" s="47" t="n">
        <v>0</v>
      </c>
      <c r="F94" s="47" t="n">
        <v>0</v>
      </c>
      <c r="G94" s="47" t="n">
        <v>0</v>
      </c>
      <c r="H94" s="47" t="n">
        <v>0</v>
      </c>
    </row>
    <row r="95" customFormat="false" ht="15" hidden="false" customHeight="true" outlineLevel="0" collapsed="false">
      <c r="A95" s="35" t="s">
        <v>161</v>
      </c>
      <c r="B95" s="47" t="n">
        <v>103.1</v>
      </c>
      <c r="C95" s="47" t="n">
        <v>96.4</v>
      </c>
      <c r="D95" s="47" t="n">
        <v>64.8</v>
      </c>
      <c r="E95" s="47" t="n">
        <v>44.7</v>
      </c>
      <c r="F95" s="47" t="n">
        <v>27.9</v>
      </c>
      <c r="G95" s="47" t="n">
        <v>22.3</v>
      </c>
      <c r="H95" s="47" t="n">
        <v>20.1</v>
      </c>
    </row>
    <row r="96" customFormat="false" ht="15" hidden="false" customHeight="true" outlineLevel="0" collapsed="false">
      <c r="A96" s="35" t="s">
        <v>162</v>
      </c>
      <c r="B96" s="47" t="n">
        <v>172.3</v>
      </c>
      <c r="C96" s="47" t="n">
        <v>162.4</v>
      </c>
      <c r="D96" s="47" t="n">
        <v>114.9</v>
      </c>
      <c r="E96" s="47" t="n">
        <v>83.9</v>
      </c>
      <c r="F96" s="47" t="n">
        <v>56.8</v>
      </c>
      <c r="G96" s="47" t="n">
        <v>45.4</v>
      </c>
      <c r="H96" s="47" t="n">
        <v>40.9</v>
      </c>
    </row>
    <row r="97" customFormat="false" ht="15" hidden="false" customHeight="true" outlineLevel="0" collapsed="false">
      <c r="A97" s="35" t="s">
        <v>163</v>
      </c>
      <c r="B97" s="47" t="n">
        <v>0</v>
      </c>
      <c r="C97" s="47" t="n">
        <v>0</v>
      </c>
      <c r="D97" s="47" t="n">
        <v>0</v>
      </c>
      <c r="E97" s="47" t="n">
        <v>0</v>
      </c>
      <c r="F97" s="47" t="n">
        <v>0</v>
      </c>
      <c r="G97" s="47" t="n">
        <v>0</v>
      </c>
      <c r="H97" s="47" t="n">
        <v>0</v>
      </c>
    </row>
    <row r="98" customFormat="false" ht="15" hidden="false" customHeight="true" outlineLevel="0" collapsed="false">
      <c r="A98" s="35" t="s">
        <v>164</v>
      </c>
      <c r="B98" s="47" t="n">
        <v>108.3</v>
      </c>
      <c r="C98" s="47" t="n">
        <v>101.4</v>
      </c>
      <c r="D98" s="47" t="n">
        <v>68.8</v>
      </c>
      <c r="E98" s="47" t="n">
        <v>48</v>
      </c>
      <c r="F98" s="47" t="n">
        <v>30.2</v>
      </c>
      <c r="G98" s="47" t="n">
        <v>24.2</v>
      </c>
      <c r="H98" s="47" t="n">
        <v>21.7</v>
      </c>
    </row>
    <row r="99" customFormat="false" ht="15" hidden="false" customHeight="true" outlineLevel="0" collapsed="false">
      <c r="A99" s="35" t="s">
        <v>165</v>
      </c>
      <c r="B99" s="47" t="n">
        <v>171.6</v>
      </c>
      <c r="C99" s="47" t="n">
        <v>161.7</v>
      </c>
      <c r="D99" s="47" t="n">
        <v>114.6</v>
      </c>
      <c r="E99" s="47" t="n">
        <v>83.8</v>
      </c>
      <c r="F99" s="47" t="n">
        <v>56.8</v>
      </c>
      <c r="G99" s="47" t="n">
        <v>45.4</v>
      </c>
      <c r="H99" s="47" t="n">
        <v>40.9</v>
      </c>
    </row>
    <row r="100" customFormat="false" ht="15" hidden="false" customHeight="true" outlineLevel="0" collapsed="false">
      <c r="A100" s="35" t="s">
        <v>166</v>
      </c>
      <c r="B100" s="47" t="n">
        <v>54.7</v>
      </c>
      <c r="C100" s="47" t="n">
        <v>50.8</v>
      </c>
      <c r="D100" s="47" t="n">
        <v>32.5</v>
      </c>
      <c r="E100" s="47" t="n">
        <v>21.4</v>
      </c>
      <c r="F100" s="47" t="n">
        <v>12.3</v>
      </c>
      <c r="G100" s="47" t="n">
        <v>9.8</v>
      </c>
      <c r="H100" s="47" t="n">
        <v>8.9</v>
      </c>
    </row>
    <row r="101" customFormat="false" ht="15" hidden="false" customHeight="true" outlineLevel="0" collapsed="false">
      <c r="A101" s="35" t="s">
        <v>167</v>
      </c>
      <c r="B101" s="47" t="n">
        <v>191.5</v>
      </c>
      <c r="C101" s="47" t="n">
        <v>180.7</v>
      </c>
      <c r="D101" s="47" t="n">
        <v>129.3</v>
      </c>
      <c r="E101" s="47" t="n">
        <v>95.4</v>
      </c>
      <c r="F101" s="47" t="n">
        <v>65.9</v>
      </c>
      <c r="G101" s="47" t="n">
        <v>52.7</v>
      </c>
      <c r="H101" s="47" t="n">
        <v>47.4</v>
      </c>
    </row>
    <row r="102" customFormat="false" ht="15" hidden="false" customHeight="true" outlineLevel="0" collapsed="false">
      <c r="A102" s="35" t="s">
        <v>168</v>
      </c>
      <c r="B102" s="47" t="n">
        <v>94</v>
      </c>
      <c r="C102" s="47" t="n">
        <v>88.1</v>
      </c>
      <c r="D102" s="47" t="n">
        <v>60</v>
      </c>
      <c r="E102" s="47" t="n">
        <v>42.2</v>
      </c>
      <c r="F102" s="47" t="n">
        <v>26.1</v>
      </c>
      <c r="G102" s="47" t="n">
        <v>20.9</v>
      </c>
      <c r="H102" s="47" t="n">
        <v>18.8</v>
      </c>
    </row>
    <row r="103" customFormat="false" ht="15" hidden="false" customHeight="true" outlineLevel="0" collapsed="false">
      <c r="A103" s="35" t="s">
        <v>169</v>
      </c>
      <c r="B103" s="47" t="n">
        <v>174.9</v>
      </c>
      <c r="C103" s="47" t="n">
        <v>164.8</v>
      </c>
      <c r="D103" s="47" t="n">
        <v>116.6</v>
      </c>
      <c r="E103" s="47" t="n">
        <v>85.2</v>
      </c>
      <c r="F103" s="47" t="n">
        <v>57.6</v>
      </c>
      <c r="G103" s="47" t="n">
        <v>46.1</v>
      </c>
      <c r="H103" s="47" t="n">
        <v>41.5</v>
      </c>
    </row>
    <row r="104" customFormat="false" ht="15" hidden="false" customHeight="true" outlineLevel="0" collapsed="false">
      <c r="A104" s="35" t="s">
        <v>170</v>
      </c>
      <c r="B104" s="47" t="n">
        <v>121</v>
      </c>
      <c r="C104" s="47" t="n">
        <v>113.7</v>
      </c>
      <c r="D104" s="47" t="n">
        <v>78.6</v>
      </c>
      <c r="E104" s="47" t="n">
        <v>56.4</v>
      </c>
      <c r="F104" s="47" t="n">
        <v>37.3</v>
      </c>
      <c r="G104" s="47" t="n">
        <v>29.8</v>
      </c>
      <c r="H104" s="47" t="n">
        <v>26.9</v>
      </c>
    </row>
    <row r="105" customFormat="false" ht="15" hidden="false" customHeight="true" outlineLevel="0" collapsed="false">
      <c r="A105" s="35" t="s">
        <v>171</v>
      </c>
      <c r="B105" s="47" t="n">
        <v>56.3</v>
      </c>
      <c r="C105" s="47" t="n">
        <v>52.1</v>
      </c>
      <c r="D105" s="47" t="n">
        <v>32.4</v>
      </c>
      <c r="E105" s="47" t="n">
        <v>21.3</v>
      </c>
      <c r="F105" s="47" t="n">
        <v>11.3</v>
      </c>
      <c r="G105" s="47" t="n">
        <v>9</v>
      </c>
      <c r="H105" s="47" t="n">
        <v>8.1</v>
      </c>
    </row>
    <row r="106" customFormat="false" ht="15" hidden="false" customHeight="true" outlineLevel="0" collapsed="false">
      <c r="A106" s="35" t="s">
        <v>172</v>
      </c>
      <c r="B106" s="47" t="n">
        <v>165.4</v>
      </c>
      <c r="C106" s="47" t="n">
        <v>155.8</v>
      </c>
      <c r="D106" s="47" t="n">
        <v>109.9</v>
      </c>
      <c r="E106" s="47" t="n">
        <v>80.1</v>
      </c>
      <c r="F106" s="47" t="n">
        <v>53.8</v>
      </c>
      <c r="G106" s="47" t="n">
        <v>43</v>
      </c>
      <c r="H106" s="47" t="n">
        <v>38.7</v>
      </c>
    </row>
    <row r="107" customFormat="false" ht="15" hidden="false" customHeight="true" outlineLevel="0" collapsed="false">
      <c r="A107" s="35" t="s">
        <v>173</v>
      </c>
      <c r="B107" s="47" t="n">
        <v>109</v>
      </c>
      <c r="C107" s="47" t="n">
        <v>102.2</v>
      </c>
      <c r="D107" s="47" t="n">
        <v>69.5</v>
      </c>
      <c r="E107" s="47" t="n">
        <v>48.9</v>
      </c>
      <c r="F107" s="47" t="n">
        <v>31.8</v>
      </c>
      <c r="G107" s="47" t="n">
        <v>25.4</v>
      </c>
      <c r="H107" s="47" t="n">
        <v>22.9</v>
      </c>
    </row>
    <row r="108" customFormat="false" ht="15" hidden="false" customHeight="true" outlineLevel="0" collapsed="false">
      <c r="A108" s="35" t="s">
        <v>174</v>
      </c>
      <c r="B108" s="47" t="n">
        <v>157.3</v>
      </c>
      <c r="C108" s="47" t="n">
        <v>148.1</v>
      </c>
      <c r="D108" s="47" t="n">
        <v>103.9</v>
      </c>
      <c r="E108" s="47" t="n">
        <v>75.3</v>
      </c>
      <c r="F108" s="47" t="n">
        <v>50.4</v>
      </c>
      <c r="G108" s="47" t="n">
        <v>40.3</v>
      </c>
      <c r="H108" s="47" t="n">
        <v>36.3</v>
      </c>
    </row>
    <row r="109" customFormat="false" ht="15" hidden="false" customHeight="true" outlineLevel="0" collapsed="false">
      <c r="A109" s="35" t="s">
        <v>175</v>
      </c>
      <c r="B109" s="47" t="n">
        <v>120.3</v>
      </c>
      <c r="C109" s="47" t="n">
        <v>113</v>
      </c>
      <c r="D109" s="47" t="n">
        <v>78</v>
      </c>
      <c r="E109" s="47" t="n">
        <v>56</v>
      </c>
      <c r="F109" s="47" t="n">
        <v>36.9</v>
      </c>
      <c r="G109" s="47" t="n">
        <v>29.5</v>
      </c>
      <c r="H109" s="47" t="n">
        <v>26.6</v>
      </c>
    </row>
    <row r="110" customFormat="false" ht="15" hidden="false" customHeight="true" outlineLevel="0" collapsed="false">
      <c r="A110" s="35" t="s">
        <v>176</v>
      </c>
      <c r="B110" s="47" t="n">
        <v>0</v>
      </c>
      <c r="C110" s="47" t="n">
        <v>0</v>
      </c>
      <c r="D110" s="47" t="n">
        <v>0</v>
      </c>
      <c r="E110" s="47" t="n">
        <v>0</v>
      </c>
      <c r="F110" s="47" t="n">
        <v>0</v>
      </c>
      <c r="G110" s="47" t="n">
        <v>0</v>
      </c>
      <c r="H110" s="47" t="n">
        <v>0</v>
      </c>
    </row>
    <row r="112" customFormat="false" ht="15" hidden="false" customHeight="true" outlineLevel="0" collapsed="false">
      <c r="A112" s="46" t="s">
        <v>178</v>
      </c>
      <c r="B112" s="46"/>
      <c r="C112" s="46"/>
      <c r="D112" s="46"/>
      <c r="E112" s="46"/>
      <c r="F112" s="46"/>
      <c r="G112" s="46"/>
      <c r="H112" s="46"/>
    </row>
    <row r="113" customFormat="false" ht="15" hidden="false" customHeight="true" outlineLevel="0" collapsed="false">
      <c r="A113" s="20" t="s">
        <v>95</v>
      </c>
      <c r="B113" s="20" t="s">
        <v>122</v>
      </c>
      <c r="C113" s="20" t="s">
        <v>123</v>
      </c>
      <c r="D113" s="20" t="s">
        <v>124</v>
      </c>
      <c r="E113" s="20" t="s">
        <v>9</v>
      </c>
      <c r="F113" s="20" t="s">
        <v>125</v>
      </c>
      <c r="G113" s="20" t="s">
        <v>126</v>
      </c>
      <c r="H113" s="20" t="s">
        <v>127</v>
      </c>
    </row>
    <row r="114" customFormat="false" ht="15" hidden="false" customHeight="true" outlineLevel="0" collapsed="false">
      <c r="A114" s="35" t="s">
        <v>128</v>
      </c>
      <c r="B114" s="47" t="n">
        <v>126</v>
      </c>
      <c r="C114" s="47" t="n">
        <v>116.6</v>
      </c>
      <c r="D114" s="47" t="n">
        <v>102.2</v>
      </c>
      <c r="E114" s="47" t="n">
        <v>63.6</v>
      </c>
      <c r="F114" s="47" t="n">
        <v>43.6</v>
      </c>
      <c r="G114" s="47" t="n">
        <v>34.9</v>
      </c>
      <c r="H114" s="47" t="n">
        <v>31.4</v>
      </c>
    </row>
    <row r="115" customFormat="false" ht="15" hidden="false" customHeight="true" outlineLevel="0" collapsed="false">
      <c r="A115" s="35" t="s">
        <v>129</v>
      </c>
      <c r="B115" s="47" t="n">
        <v>107.7</v>
      </c>
      <c r="C115" s="47" t="n">
        <v>95.3</v>
      </c>
      <c r="D115" s="47" t="n">
        <v>84.9</v>
      </c>
      <c r="E115" s="47" t="n">
        <v>50.2</v>
      </c>
      <c r="F115" s="47" t="n">
        <v>33.6</v>
      </c>
      <c r="G115" s="47" t="n">
        <v>26.9</v>
      </c>
      <c r="H115" s="47" t="n">
        <v>24.2</v>
      </c>
    </row>
    <row r="116" customFormat="false" ht="15" hidden="false" customHeight="true" outlineLevel="0" collapsed="false">
      <c r="A116" s="35" t="s">
        <v>130</v>
      </c>
      <c r="B116" s="47" t="n">
        <v>42.9</v>
      </c>
      <c r="C116" s="47" t="n">
        <v>32.8</v>
      </c>
      <c r="D116" s="47" t="n">
        <v>30.3</v>
      </c>
      <c r="E116" s="47" t="n">
        <v>13.3</v>
      </c>
      <c r="F116" s="47" t="n">
        <v>6.6</v>
      </c>
      <c r="G116" s="47" t="n">
        <v>5.3</v>
      </c>
      <c r="H116" s="47" t="n">
        <v>4.8</v>
      </c>
    </row>
    <row r="117" customFormat="false" ht="15" hidden="false" customHeight="true" outlineLevel="0" collapsed="false">
      <c r="A117" s="35" t="s">
        <v>131</v>
      </c>
      <c r="B117" s="47" t="n">
        <v>30.4</v>
      </c>
      <c r="C117" s="47" t="n">
        <v>21.6</v>
      </c>
      <c r="D117" s="47" t="n">
        <v>20.2</v>
      </c>
      <c r="E117" s="47" t="n">
        <v>7.3</v>
      </c>
      <c r="F117" s="47" t="n">
        <v>2.8</v>
      </c>
      <c r="G117" s="47" t="n">
        <v>2.2</v>
      </c>
      <c r="H117" s="47" t="n">
        <v>2</v>
      </c>
    </row>
    <row r="118" customFormat="false" ht="15" hidden="false" customHeight="true" outlineLevel="0" collapsed="false">
      <c r="A118" s="35" t="s">
        <v>132</v>
      </c>
      <c r="B118" s="47" t="n">
        <v>143.4</v>
      </c>
      <c r="C118" s="47" t="n">
        <v>131.9</v>
      </c>
      <c r="D118" s="47" t="n">
        <v>116.4</v>
      </c>
      <c r="E118" s="47" t="n">
        <v>72.9</v>
      </c>
      <c r="F118" s="47" t="n">
        <v>50.5</v>
      </c>
      <c r="G118" s="47" t="n">
        <v>40.4</v>
      </c>
      <c r="H118" s="47" t="n">
        <v>36.4</v>
      </c>
    </row>
    <row r="119" customFormat="false" ht="15" hidden="false" customHeight="true" outlineLevel="0" collapsed="false">
      <c r="A119" s="35" t="s">
        <v>133</v>
      </c>
      <c r="B119" s="47" t="n">
        <v>65.6</v>
      </c>
      <c r="C119" s="47" t="n">
        <v>56.3</v>
      </c>
      <c r="D119" s="47" t="n">
        <v>50.4</v>
      </c>
      <c r="E119" s="47" t="n">
        <v>26.9</v>
      </c>
      <c r="F119" s="47" t="n">
        <v>16.5</v>
      </c>
      <c r="G119" s="47" t="n">
        <v>13.2</v>
      </c>
      <c r="H119" s="47" t="n">
        <v>11.9</v>
      </c>
    </row>
    <row r="120" customFormat="false" ht="15" hidden="false" customHeight="true" outlineLevel="0" collapsed="false">
      <c r="A120" s="35" t="s">
        <v>134</v>
      </c>
      <c r="B120" s="47" t="n">
        <v>43.7</v>
      </c>
      <c r="C120" s="47" t="n">
        <v>33.7</v>
      </c>
      <c r="D120" s="47" t="n">
        <v>31.1</v>
      </c>
      <c r="E120" s="47" t="n">
        <v>13.3</v>
      </c>
      <c r="F120" s="47" t="n">
        <v>6.5</v>
      </c>
      <c r="G120" s="47" t="n">
        <v>5.2</v>
      </c>
      <c r="H120" s="47" t="n">
        <v>4.7</v>
      </c>
    </row>
    <row r="121" customFormat="false" ht="15" hidden="false" customHeight="true" outlineLevel="0" collapsed="false">
      <c r="A121" s="35" t="s">
        <v>135</v>
      </c>
      <c r="B121" s="47" t="n">
        <v>70.4</v>
      </c>
      <c r="C121" s="47" t="n">
        <v>60.4</v>
      </c>
      <c r="D121" s="47" t="n">
        <v>54</v>
      </c>
      <c r="E121" s="47" t="n">
        <v>29.4</v>
      </c>
      <c r="F121" s="47" t="n">
        <v>17.4</v>
      </c>
      <c r="G121" s="47" t="n">
        <v>13.9</v>
      </c>
      <c r="H121" s="47" t="n">
        <v>12.5</v>
      </c>
    </row>
    <row r="122" customFormat="false" ht="15" hidden="false" customHeight="true" outlineLevel="0" collapsed="false">
      <c r="A122" s="35" t="s">
        <v>136</v>
      </c>
      <c r="B122" s="47" t="n">
        <v>142.4</v>
      </c>
      <c r="C122" s="47" t="n">
        <v>132.3</v>
      </c>
      <c r="D122" s="47" t="n">
        <v>116.1</v>
      </c>
      <c r="E122" s="47" t="n">
        <v>73.6</v>
      </c>
      <c r="F122" s="47" t="n">
        <v>51.4</v>
      </c>
      <c r="G122" s="47" t="n">
        <v>41.1</v>
      </c>
      <c r="H122" s="47" t="n">
        <v>37</v>
      </c>
    </row>
    <row r="123" customFormat="false" ht="15" hidden="false" customHeight="true" outlineLevel="0" collapsed="false">
      <c r="A123" s="35" t="s">
        <v>137</v>
      </c>
      <c r="B123" s="47" t="n">
        <v>77</v>
      </c>
      <c r="C123" s="47" t="n">
        <v>67.2</v>
      </c>
      <c r="D123" s="47" t="n">
        <v>59.8</v>
      </c>
      <c r="E123" s="47" t="n">
        <v>33.8</v>
      </c>
      <c r="F123" s="47" t="n">
        <v>21</v>
      </c>
      <c r="G123" s="47" t="n">
        <v>16.8</v>
      </c>
      <c r="H123" s="47" t="n">
        <v>15.1</v>
      </c>
    </row>
    <row r="124" customFormat="false" ht="15" hidden="false" customHeight="true" outlineLevel="0" collapsed="false">
      <c r="A124" s="35" t="s">
        <v>138</v>
      </c>
      <c r="B124" s="47" t="n">
        <v>29.2</v>
      </c>
      <c r="C124" s="47" t="n">
        <v>20.1</v>
      </c>
      <c r="D124" s="47" t="n">
        <v>18.8</v>
      </c>
      <c r="E124" s="47" t="n">
        <v>6.9</v>
      </c>
      <c r="F124" s="47" t="n">
        <v>2.6</v>
      </c>
      <c r="G124" s="47" t="n">
        <v>2.1</v>
      </c>
      <c r="H124" s="47" t="n">
        <v>1.9</v>
      </c>
    </row>
    <row r="125" customFormat="false" ht="15" hidden="false" customHeight="true" outlineLevel="0" collapsed="false">
      <c r="A125" s="35" t="s">
        <v>139</v>
      </c>
      <c r="B125" s="47" t="n">
        <v>54.3</v>
      </c>
      <c r="C125" s="47" t="n">
        <v>44.1</v>
      </c>
      <c r="D125" s="47" t="n">
        <v>40.2</v>
      </c>
      <c r="E125" s="47" t="n">
        <v>19.2</v>
      </c>
      <c r="F125" s="47" t="n">
        <v>10.4</v>
      </c>
      <c r="G125" s="47" t="n">
        <v>8.3</v>
      </c>
      <c r="H125" s="47" t="n">
        <v>7.5</v>
      </c>
    </row>
    <row r="126" customFormat="false" ht="15" hidden="false" customHeight="true" outlineLevel="0" collapsed="false">
      <c r="A126" s="35" t="s">
        <v>96</v>
      </c>
      <c r="B126" s="47" t="n">
        <v>92.9</v>
      </c>
      <c r="C126" s="47" t="n">
        <v>82.2</v>
      </c>
      <c r="D126" s="47" t="n">
        <v>73.1</v>
      </c>
      <c r="E126" s="47" t="n">
        <v>42.5</v>
      </c>
      <c r="F126" s="47" t="n">
        <v>27.9</v>
      </c>
      <c r="G126" s="47" t="n">
        <v>22.3</v>
      </c>
      <c r="H126" s="47" t="n">
        <v>20.1</v>
      </c>
    </row>
    <row r="127" customFormat="false" ht="15" hidden="false" customHeight="true" outlineLevel="0" collapsed="false">
      <c r="A127" s="35" t="s">
        <v>140</v>
      </c>
      <c r="B127" s="47" t="n">
        <v>57.4</v>
      </c>
      <c r="C127" s="47" t="n">
        <v>47.5</v>
      </c>
      <c r="D127" s="47" t="n">
        <v>43</v>
      </c>
      <c r="E127" s="47" t="n">
        <v>22</v>
      </c>
      <c r="F127" s="47" t="n">
        <v>13.1</v>
      </c>
      <c r="G127" s="47" t="n">
        <v>10.5</v>
      </c>
      <c r="H127" s="47" t="n">
        <v>9.4</v>
      </c>
    </row>
    <row r="128" customFormat="false" ht="15" hidden="false" customHeight="true" outlineLevel="0" collapsed="false">
      <c r="A128" s="35" t="s">
        <v>141</v>
      </c>
      <c r="B128" s="47" t="n">
        <v>69.5</v>
      </c>
      <c r="C128" s="47" t="n">
        <v>59.3</v>
      </c>
      <c r="D128" s="47" t="n">
        <v>52.6</v>
      </c>
      <c r="E128" s="47" t="n">
        <v>26.9</v>
      </c>
      <c r="F128" s="47" t="n">
        <v>15.9</v>
      </c>
      <c r="G128" s="47" t="n">
        <v>12.7</v>
      </c>
      <c r="H128" s="47" t="n">
        <v>11.4</v>
      </c>
    </row>
    <row r="129" customFormat="false" ht="15" hidden="false" customHeight="true" outlineLevel="0" collapsed="false">
      <c r="A129" s="35" t="s">
        <v>142</v>
      </c>
      <c r="B129" s="47" t="n">
        <v>121.8</v>
      </c>
      <c r="C129" s="47" t="n">
        <v>110.6</v>
      </c>
      <c r="D129" s="47" t="n">
        <v>97.7</v>
      </c>
      <c r="E129" s="47" t="n">
        <v>59.2</v>
      </c>
      <c r="F129" s="47" t="n">
        <v>40</v>
      </c>
      <c r="G129" s="47" t="n">
        <v>32</v>
      </c>
      <c r="H129" s="47" t="n">
        <v>28.8</v>
      </c>
    </row>
    <row r="130" customFormat="false" ht="15" hidden="false" customHeight="true" outlineLevel="0" collapsed="false">
      <c r="A130" s="35" t="s">
        <v>143</v>
      </c>
      <c r="B130" s="47" t="n">
        <v>92.9</v>
      </c>
      <c r="C130" s="47" t="n">
        <v>80.9</v>
      </c>
      <c r="D130" s="47" t="n">
        <v>72.1</v>
      </c>
      <c r="E130" s="47" t="n">
        <v>42.2</v>
      </c>
      <c r="F130" s="47" t="n">
        <v>27.8</v>
      </c>
      <c r="G130" s="47" t="n">
        <v>22.2</v>
      </c>
      <c r="H130" s="47" t="n">
        <v>20</v>
      </c>
    </row>
    <row r="131" customFormat="false" ht="15" hidden="false" customHeight="true" outlineLevel="0" collapsed="false">
      <c r="A131" s="35" t="s">
        <v>144</v>
      </c>
      <c r="B131" s="47" t="n">
        <v>86.7</v>
      </c>
      <c r="C131" s="47" t="n">
        <v>74.9</v>
      </c>
      <c r="D131" s="47" t="n">
        <v>67</v>
      </c>
      <c r="E131" s="47" t="n">
        <v>38.3</v>
      </c>
      <c r="F131" s="47" t="n">
        <v>24.4</v>
      </c>
      <c r="G131" s="47" t="n">
        <v>19.5</v>
      </c>
      <c r="H131" s="47" t="n">
        <v>17.6</v>
      </c>
    </row>
    <row r="132" customFormat="false" ht="15" hidden="false" customHeight="true" outlineLevel="0" collapsed="false">
      <c r="A132" s="35" t="s">
        <v>145</v>
      </c>
      <c r="B132" s="47" t="n">
        <v>114</v>
      </c>
      <c r="C132" s="47" t="n">
        <v>101.7</v>
      </c>
      <c r="D132" s="47" t="n">
        <v>90.4</v>
      </c>
      <c r="E132" s="47" t="n">
        <v>53.9</v>
      </c>
      <c r="F132" s="47" t="n">
        <v>36.2</v>
      </c>
      <c r="G132" s="47" t="n">
        <v>29</v>
      </c>
      <c r="H132" s="47" t="n">
        <v>26.1</v>
      </c>
    </row>
    <row r="133" customFormat="false" ht="15" hidden="false" customHeight="true" outlineLevel="0" collapsed="false">
      <c r="A133" s="35" t="s">
        <v>146</v>
      </c>
      <c r="B133" s="47" t="n">
        <v>92.9</v>
      </c>
      <c r="C133" s="47" t="n">
        <v>83.5</v>
      </c>
      <c r="D133" s="47" t="n">
        <v>73.4</v>
      </c>
      <c r="E133" s="47" t="n">
        <v>42.4</v>
      </c>
      <c r="F133" s="47" t="n">
        <v>27.5</v>
      </c>
      <c r="G133" s="47" t="n">
        <v>22</v>
      </c>
      <c r="H133" s="47" t="n">
        <v>19.8</v>
      </c>
    </row>
    <row r="134" customFormat="false" ht="15" hidden="false" customHeight="true" outlineLevel="0" collapsed="false">
      <c r="A134" s="35" t="s">
        <v>147</v>
      </c>
      <c r="B134" s="47" t="n">
        <v>44.2</v>
      </c>
      <c r="C134" s="47" t="n">
        <v>33.8</v>
      </c>
      <c r="D134" s="47" t="n">
        <v>31.3</v>
      </c>
      <c r="E134" s="47" t="n">
        <v>13.7</v>
      </c>
      <c r="F134" s="47" t="n">
        <v>7.2</v>
      </c>
      <c r="G134" s="47" t="n">
        <v>5.8</v>
      </c>
      <c r="H134" s="47" t="n">
        <v>5.2</v>
      </c>
    </row>
    <row r="135" customFormat="false" ht="15" hidden="false" customHeight="true" outlineLevel="0" collapsed="false">
      <c r="A135" s="35" t="s">
        <v>148</v>
      </c>
      <c r="B135" s="47" t="n">
        <v>107.2</v>
      </c>
      <c r="C135" s="47" t="n">
        <v>94.7</v>
      </c>
      <c r="D135" s="47" t="n">
        <v>84.4</v>
      </c>
      <c r="E135" s="47" t="n">
        <v>49.9</v>
      </c>
      <c r="F135" s="47" t="n">
        <v>33.6</v>
      </c>
      <c r="G135" s="47" t="n">
        <v>26.9</v>
      </c>
      <c r="H135" s="47" t="n">
        <v>24.2</v>
      </c>
    </row>
    <row r="136" customFormat="false" ht="15" hidden="false" customHeight="true" outlineLevel="0" collapsed="false">
      <c r="A136" s="35" t="s">
        <v>149</v>
      </c>
      <c r="B136" s="47" t="n">
        <v>67.7</v>
      </c>
      <c r="C136" s="47" t="n">
        <v>57.7</v>
      </c>
      <c r="D136" s="47" t="n">
        <v>51.9</v>
      </c>
      <c r="E136" s="47" t="n">
        <v>27.4</v>
      </c>
      <c r="F136" s="47" t="n">
        <v>16.3</v>
      </c>
      <c r="G136" s="47" t="n">
        <v>13</v>
      </c>
      <c r="H136" s="47" t="n">
        <v>11.7</v>
      </c>
    </row>
    <row r="137" customFormat="false" ht="15" hidden="false" customHeight="true" outlineLevel="0" collapsed="false">
      <c r="A137" s="35" t="s">
        <v>150</v>
      </c>
      <c r="B137" s="47" t="n">
        <v>137.8</v>
      </c>
      <c r="C137" s="47" t="n">
        <v>126.9</v>
      </c>
      <c r="D137" s="47" t="n">
        <v>111.8</v>
      </c>
      <c r="E137" s="47" t="n">
        <v>69.8</v>
      </c>
      <c r="F137" s="47" t="n">
        <v>48.2</v>
      </c>
      <c r="G137" s="47" t="n">
        <v>38.6</v>
      </c>
      <c r="H137" s="47" t="n">
        <v>34.7</v>
      </c>
    </row>
    <row r="138" customFormat="false" ht="15" hidden="false" customHeight="true" outlineLevel="0" collapsed="false">
      <c r="A138" s="35" t="s">
        <v>151</v>
      </c>
      <c r="B138" s="47" t="n">
        <v>96.8</v>
      </c>
      <c r="C138" s="47" t="n">
        <v>86.1</v>
      </c>
      <c r="D138" s="47" t="n">
        <v>76.5</v>
      </c>
      <c r="E138" s="47" t="n">
        <v>45.3</v>
      </c>
      <c r="F138" s="47" t="n">
        <v>30.1</v>
      </c>
      <c r="G138" s="47" t="n">
        <v>24.1</v>
      </c>
      <c r="H138" s="47" t="n">
        <v>21.7</v>
      </c>
    </row>
    <row r="139" customFormat="false" ht="15" hidden="false" customHeight="true" outlineLevel="0" collapsed="false">
      <c r="A139" s="35" t="s">
        <v>152</v>
      </c>
      <c r="B139" s="47" t="n">
        <v>105.2</v>
      </c>
      <c r="C139" s="47" t="n">
        <v>94.4</v>
      </c>
      <c r="D139" s="47" t="n">
        <v>83.4</v>
      </c>
      <c r="E139" s="47" t="n">
        <v>49.8</v>
      </c>
      <c r="F139" s="47" t="n">
        <v>33.5</v>
      </c>
      <c r="G139" s="47" t="n">
        <v>26.8</v>
      </c>
      <c r="H139" s="47" t="n">
        <v>24.1</v>
      </c>
    </row>
    <row r="140" customFormat="false" ht="15" hidden="false" customHeight="true" outlineLevel="0" collapsed="false">
      <c r="A140" s="35" t="s">
        <v>153</v>
      </c>
      <c r="B140" s="47" t="n">
        <v>117.7</v>
      </c>
      <c r="C140" s="47" t="n">
        <v>108</v>
      </c>
      <c r="D140" s="47" t="n">
        <v>94.8</v>
      </c>
      <c r="E140" s="47" t="n">
        <v>58.1</v>
      </c>
      <c r="F140" s="47" t="n">
        <v>39.1</v>
      </c>
      <c r="G140" s="47" t="n">
        <v>31.3</v>
      </c>
      <c r="H140" s="47" t="n">
        <v>28.2</v>
      </c>
    </row>
    <row r="141" customFormat="false" ht="15" hidden="false" customHeight="true" outlineLevel="0" collapsed="false">
      <c r="A141" s="35" t="s">
        <v>7</v>
      </c>
      <c r="B141" s="47" t="n">
        <v>95.8</v>
      </c>
      <c r="C141" s="47" t="n">
        <v>83.8</v>
      </c>
      <c r="D141" s="47" t="n">
        <v>74.6</v>
      </c>
      <c r="E141" s="47" t="n">
        <v>43.1</v>
      </c>
      <c r="F141" s="47" t="n">
        <v>28.1</v>
      </c>
      <c r="G141" s="47" t="n">
        <v>22.5</v>
      </c>
      <c r="H141" s="47" t="n">
        <v>20.2</v>
      </c>
    </row>
    <row r="142" customFormat="false" ht="15" hidden="false" customHeight="true" outlineLevel="0" collapsed="false">
      <c r="A142" s="35" t="s">
        <v>154</v>
      </c>
      <c r="B142" s="47" t="n">
        <v>37.8</v>
      </c>
      <c r="C142" s="47" t="n">
        <v>27.5</v>
      </c>
      <c r="D142" s="47" t="n">
        <v>25.7</v>
      </c>
      <c r="E142" s="47" t="n">
        <v>10.1</v>
      </c>
      <c r="F142" s="47" t="n">
        <v>4.6</v>
      </c>
      <c r="G142" s="47" t="n">
        <v>3.7</v>
      </c>
      <c r="H142" s="47" t="n">
        <v>3.3</v>
      </c>
    </row>
    <row r="143" customFormat="false" ht="15" hidden="false" customHeight="true" outlineLevel="0" collapsed="false">
      <c r="A143" s="35" t="s">
        <v>155</v>
      </c>
      <c r="B143" s="47" t="n">
        <v>48</v>
      </c>
      <c r="C143" s="47" t="n">
        <v>38.2</v>
      </c>
      <c r="D143" s="47" t="n">
        <v>34.6</v>
      </c>
      <c r="E143" s="47" t="n">
        <v>16.4</v>
      </c>
      <c r="F143" s="47" t="n">
        <v>8.8</v>
      </c>
      <c r="G143" s="47" t="n">
        <v>7</v>
      </c>
      <c r="H143" s="47" t="n">
        <v>6.3</v>
      </c>
    </row>
    <row r="144" customFormat="false" ht="15" hidden="false" customHeight="true" outlineLevel="0" collapsed="false">
      <c r="A144" s="35" t="s">
        <v>156</v>
      </c>
      <c r="B144" s="47" t="n">
        <v>116.4</v>
      </c>
      <c r="C144" s="47" t="n">
        <v>106.4</v>
      </c>
      <c r="D144" s="47" t="n">
        <v>93.5</v>
      </c>
      <c r="E144" s="47" t="n">
        <v>56.8</v>
      </c>
      <c r="F144" s="47" t="n">
        <v>38.5</v>
      </c>
      <c r="G144" s="47" t="n">
        <v>30.8</v>
      </c>
      <c r="H144" s="47" t="n">
        <v>27.7</v>
      </c>
    </row>
    <row r="145" customFormat="false" ht="15" hidden="false" customHeight="true" outlineLevel="0" collapsed="false">
      <c r="A145" s="35" t="s">
        <v>157</v>
      </c>
      <c r="B145" s="47" t="n">
        <v>86.3</v>
      </c>
      <c r="C145" s="47" t="n">
        <v>75.8</v>
      </c>
      <c r="D145" s="47" t="n">
        <v>67.1</v>
      </c>
      <c r="E145" s="47" t="n">
        <v>38.4</v>
      </c>
      <c r="F145" s="47" t="n">
        <v>24.9</v>
      </c>
      <c r="G145" s="47" t="n">
        <v>19.9</v>
      </c>
      <c r="H145" s="47" t="n">
        <v>17.9</v>
      </c>
    </row>
    <row r="146" customFormat="false" ht="15" hidden="false" customHeight="true" outlineLevel="0" collapsed="false">
      <c r="A146" s="35" t="s">
        <v>158</v>
      </c>
      <c r="B146" s="47" t="n">
        <v>96.5</v>
      </c>
      <c r="C146" s="47" t="n">
        <v>86.6</v>
      </c>
      <c r="D146" s="47" t="n">
        <v>76.3</v>
      </c>
      <c r="E146" s="47" t="n">
        <v>44.1</v>
      </c>
      <c r="F146" s="47" t="n">
        <v>28</v>
      </c>
      <c r="G146" s="47" t="n">
        <v>22.4</v>
      </c>
      <c r="H146" s="47" t="n">
        <v>20.2</v>
      </c>
    </row>
    <row r="147" customFormat="false" ht="15" hidden="false" customHeight="true" outlineLevel="0" collapsed="false">
      <c r="A147" s="35" t="s">
        <v>159</v>
      </c>
      <c r="B147" s="47" t="n">
        <v>135.7</v>
      </c>
      <c r="C147" s="47" t="n">
        <v>124.5</v>
      </c>
      <c r="D147" s="47" t="n">
        <v>109.8</v>
      </c>
      <c r="E147" s="47" t="n">
        <v>68.1</v>
      </c>
      <c r="F147" s="47" t="n">
        <v>46.7</v>
      </c>
      <c r="G147" s="47" t="n">
        <v>37.4</v>
      </c>
      <c r="H147" s="47" t="n">
        <v>33.6</v>
      </c>
    </row>
    <row r="148" customFormat="false" ht="15" hidden="false" customHeight="true" outlineLevel="0" collapsed="false">
      <c r="A148" s="35" t="s">
        <v>160</v>
      </c>
      <c r="B148" s="47" t="n">
        <v>0</v>
      </c>
      <c r="C148" s="47" t="n">
        <v>0</v>
      </c>
      <c r="D148" s="47" t="n">
        <v>0</v>
      </c>
      <c r="E148" s="47" t="n">
        <v>0</v>
      </c>
      <c r="F148" s="47" t="n">
        <v>0</v>
      </c>
      <c r="G148" s="47" t="n">
        <v>0</v>
      </c>
      <c r="H148" s="47" t="n">
        <v>0</v>
      </c>
    </row>
    <row r="149" customFormat="false" ht="15" hidden="false" customHeight="true" outlineLevel="0" collapsed="false">
      <c r="A149" s="35" t="s">
        <v>161</v>
      </c>
      <c r="B149" s="47" t="n">
        <v>75.6</v>
      </c>
      <c r="C149" s="47" t="n">
        <v>64.9</v>
      </c>
      <c r="D149" s="47" t="n">
        <v>57.7</v>
      </c>
      <c r="E149" s="47" t="n">
        <v>31</v>
      </c>
      <c r="F149" s="47" t="n">
        <v>19.1</v>
      </c>
      <c r="G149" s="47" t="n">
        <v>15.3</v>
      </c>
      <c r="H149" s="47" t="n">
        <v>13.8</v>
      </c>
    </row>
    <row r="150" customFormat="false" ht="15" hidden="false" customHeight="true" outlineLevel="0" collapsed="false">
      <c r="A150" s="35" t="s">
        <v>162</v>
      </c>
      <c r="B150" s="47" t="n">
        <v>127</v>
      </c>
      <c r="C150" s="47" t="n">
        <v>115.1</v>
      </c>
      <c r="D150" s="47" t="n">
        <v>101.9</v>
      </c>
      <c r="E150" s="47" t="n">
        <v>61.9</v>
      </c>
      <c r="F150" s="47" t="n">
        <v>41.7</v>
      </c>
      <c r="G150" s="47" t="n">
        <v>33.4</v>
      </c>
      <c r="H150" s="47" t="n">
        <v>30</v>
      </c>
    </row>
    <row r="151" customFormat="false" ht="15" hidden="false" customHeight="true" outlineLevel="0" collapsed="false">
      <c r="A151" s="35" t="s">
        <v>163</v>
      </c>
      <c r="B151" s="47" t="n">
        <v>0</v>
      </c>
      <c r="C151" s="47" t="n">
        <v>0</v>
      </c>
      <c r="D151" s="47" t="n">
        <v>0</v>
      </c>
      <c r="E151" s="47" t="n">
        <v>0</v>
      </c>
      <c r="F151" s="47" t="n">
        <v>0</v>
      </c>
      <c r="G151" s="47" t="n">
        <v>0</v>
      </c>
      <c r="H151" s="47" t="n">
        <v>0</v>
      </c>
    </row>
    <row r="152" customFormat="false" ht="15" hidden="false" customHeight="true" outlineLevel="0" collapsed="false">
      <c r="A152" s="35" t="s">
        <v>164</v>
      </c>
      <c r="B152" s="47" t="n">
        <v>79</v>
      </c>
      <c r="C152" s="47" t="n">
        <v>69</v>
      </c>
      <c r="D152" s="47" t="n">
        <v>61</v>
      </c>
      <c r="E152" s="47" t="n">
        <v>33.5</v>
      </c>
      <c r="F152" s="47" t="n">
        <v>21.1</v>
      </c>
      <c r="G152" s="47" t="n">
        <v>16.9</v>
      </c>
      <c r="H152" s="47" t="n">
        <v>15.2</v>
      </c>
    </row>
    <row r="153" customFormat="false" ht="15" hidden="false" customHeight="true" outlineLevel="0" collapsed="false">
      <c r="A153" s="35" t="s">
        <v>165</v>
      </c>
      <c r="B153" s="47" t="n">
        <v>126.1</v>
      </c>
      <c r="C153" s="47" t="n">
        <v>114.8</v>
      </c>
      <c r="D153" s="47" t="n">
        <v>101.4</v>
      </c>
      <c r="E153" s="47" t="n">
        <v>61.9</v>
      </c>
      <c r="F153" s="47" t="n">
        <v>41.8</v>
      </c>
      <c r="G153" s="47" t="n">
        <v>33.4</v>
      </c>
      <c r="H153" s="47" t="n">
        <v>30.1</v>
      </c>
    </row>
    <row r="154" customFormat="false" ht="15" hidden="false" customHeight="true" outlineLevel="0" collapsed="false">
      <c r="A154" s="35" t="s">
        <v>166</v>
      </c>
      <c r="B154" s="47" t="n">
        <v>41.1</v>
      </c>
      <c r="C154" s="47" t="n">
        <v>32.6</v>
      </c>
      <c r="D154" s="47" t="n">
        <v>29.8</v>
      </c>
      <c r="E154" s="47" t="n">
        <v>13.9</v>
      </c>
      <c r="F154" s="47" t="n">
        <v>7.6</v>
      </c>
      <c r="G154" s="47" t="n">
        <v>6.1</v>
      </c>
      <c r="H154" s="47" t="n">
        <v>5.5</v>
      </c>
    </row>
    <row r="155" customFormat="false" ht="15" hidden="false" customHeight="true" outlineLevel="0" collapsed="false">
      <c r="A155" s="35" t="s">
        <v>167</v>
      </c>
      <c r="B155" s="47" t="n">
        <v>140.5</v>
      </c>
      <c r="C155" s="47" t="n">
        <v>129.5</v>
      </c>
      <c r="D155" s="47" t="n">
        <v>114.1</v>
      </c>
      <c r="E155" s="47" t="n">
        <v>71.4</v>
      </c>
      <c r="F155" s="47" t="n">
        <v>49.4</v>
      </c>
      <c r="G155" s="47" t="n">
        <v>39.5</v>
      </c>
      <c r="H155" s="47" t="n">
        <v>35.6</v>
      </c>
    </row>
    <row r="156" customFormat="false" ht="15" hidden="false" customHeight="true" outlineLevel="0" collapsed="false">
      <c r="A156" s="35" t="s">
        <v>168</v>
      </c>
      <c r="B156" s="47" t="n">
        <v>69.7</v>
      </c>
      <c r="C156" s="47" t="n">
        <v>60.1</v>
      </c>
      <c r="D156" s="47" t="n">
        <v>53.8</v>
      </c>
      <c r="E156" s="47" t="n">
        <v>29.1</v>
      </c>
      <c r="F156" s="47" t="n">
        <v>17.3</v>
      </c>
      <c r="G156" s="47" t="n">
        <v>13.8</v>
      </c>
      <c r="H156" s="47" t="n">
        <v>12.5</v>
      </c>
    </row>
    <row r="157" customFormat="false" ht="15" hidden="false" customHeight="true" outlineLevel="0" collapsed="false">
      <c r="A157" s="35" t="s">
        <v>169</v>
      </c>
      <c r="B157" s="47" t="n">
        <v>129.1</v>
      </c>
      <c r="C157" s="47" t="n">
        <v>116.8</v>
      </c>
      <c r="D157" s="47" t="n">
        <v>103.5</v>
      </c>
      <c r="E157" s="47" t="n">
        <v>62.8</v>
      </c>
      <c r="F157" s="47" t="n">
        <v>42.6</v>
      </c>
      <c r="G157" s="47" t="n">
        <v>34.1</v>
      </c>
      <c r="H157" s="47" t="n">
        <v>30.7</v>
      </c>
    </row>
    <row r="158" customFormat="false" ht="15" hidden="false" customHeight="true" outlineLevel="0" collapsed="false">
      <c r="A158" s="35" t="s">
        <v>170</v>
      </c>
      <c r="B158" s="47" t="n">
        <v>89.4</v>
      </c>
      <c r="C158" s="47" t="n">
        <v>78.8</v>
      </c>
      <c r="D158" s="47" t="n">
        <v>70.1</v>
      </c>
      <c r="E158" s="47" t="n">
        <v>40.9</v>
      </c>
      <c r="F158" s="47" t="n">
        <v>26.6</v>
      </c>
      <c r="G158" s="47" t="n">
        <v>21.3</v>
      </c>
      <c r="H158" s="47" t="n">
        <v>19.2</v>
      </c>
    </row>
    <row r="159" customFormat="false" ht="15" hidden="false" customHeight="true" outlineLevel="0" collapsed="false">
      <c r="A159" s="35" t="s">
        <v>171</v>
      </c>
      <c r="B159" s="47" t="n">
        <v>42.3</v>
      </c>
      <c r="C159" s="47" t="n">
        <v>32.5</v>
      </c>
      <c r="D159" s="47" t="n">
        <v>29.9</v>
      </c>
      <c r="E159" s="47" t="n">
        <v>13.1</v>
      </c>
      <c r="F159" s="47" t="n">
        <v>6.5</v>
      </c>
      <c r="G159" s="47" t="n">
        <v>5.2</v>
      </c>
      <c r="H159" s="47" t="n">
        <v>4.7</v>
      </c>
    </row>
    <row r="160" customFormat="false" ht="15" hidden="false" customHeight="true" outlineLevel="0" collapsed="false">
      <c r="A160" s="35" t="s">
        <v>172</v>
      </c>
      <c r="B160" s="47" t="n">
        <v>121.8</v>
      </c>
      <c r="C160" s="47" t="n">
        <v>110.1</v>
      </c>
      <c r="D160" s="47" t="n">
        <v>97.5</v>
      </c>
      <c r="E160" s="47" t="n">
        <v>58.7</v>
      </c>
      <c r="F160" s="47" t="n">
        <v>39.7</v>
      </c>
      <c r="G160" s="47" t="n">
        <v>31.8</v>
      </c>
      <c r="H160" s="47" t="n">
        <v>28.6</v>
      </c>
    </row>
    <row r="161" customFormat="false" ht="15" hidden="false" customHeight="true" outlineLevel="0" collapsed="false">
      <c r="A161" s="35" t="s">
        <v>173</v>
      </c>
      <c r="B161" s="47" t="n">
        <v>79.4</v>
      </c>
      <c r="C161" s="47" t="n">
        <v>69.7</v>
      </c>
      <c r="D161" s="47" t="n">
        <v>61.5</v>
      </c>
      <c r="E161" s="47" t="n">
        <v>34.9</v>
      </c>
      <c r="F161" s="47" t="n">
        <v>22.4</v>
      </c>
      <c r="G161" s="47" t="n">
        <v>17.9</v>
      </c>
      <c r="H161" s="47" t="n">
        <v>16.1</v>
      </c>
    </row>
    <row r="162" customFormat="false" ht="15" hidden="false" customHeight="true" outlineLevel="0" collapsed="false">
      <c r="A162" s="35" t="s">
        <v>174</v>
      </c>
      <c r="B162" s="47" t="n">
        <v>116</v>
      </c>
      <c r="C162" s="47" t="n">
        <v>104.1</v>
      </c>
      <c r="D162" s="47" t="n">
        <v>92.3</v>
      </c>
      <c r="E162" s="47" t="n">
        <v>54.9</v>
      </c>
      <c r="F162" s="47" t="n">
        <v>37</v>
      </c>
      <c r="G162" s="47" t="n">
        <v>29.6</v>
      </c>
      <c r="H162" s="47" t="n">
        <v>26.6</v>
      </c>
    </row>
    <row r="163" customFormat="false" ht="15" hidden="false" customHeight="true" outlineLevel="0" collapsed="false">
      <c r="A163" s="35" t="s">
        <v>175</v>
      </c>
      <c r="B163" s="47" t="n">
        <v>89</v>
      </c>
      <c r="C163" s="47" t="n">
        <v>78.2</v>
      </c>
      <c r="D163" s="47" t="n">
        <v>69.7</v>
      </c>
      <c r="E163" s="47" t="n">
        <v>40.5</v>
      </c>
      <c r="F163" s="47" t="n">
        <v>26.3</v>
      </c>
      <c r="G163" s="47" t="n">
        <v>21</v>
      </c>
      <c r="H163" s="47" t="n">
        <v>18.9</v>
      </c>
    </row>
    <row r="164" customFormat="false" ht="15" hidden="false" customHeight="true" outlineLevel="0" collapsed="false">
      <c r="A164" s="35" t="s">
        <v>176</v>
      </c>
      <c r="B164" s="47" t="n">
        <v>0</v>
      </c>
      <c r="C164" s="47" t="n">
        <v>0</v>
      </c>
      <c r="D164" s="47" t="n">
        <v>0</v>
      </c>
      <c r="E164" s="47" t="n">
        <v>0</v>
      </c>
      <c r="F164" s="47" t="n">
        <v>0</v>
      </c>
      <c r="G164" s="47" t="n">
        <v>0</v>
      </c>
      <c r="H164" s="47" t="n">
        <v>0</v>
      </c>
    </row>
  </sheetData>
  <mergeCells count="5">
    <mergeCell ref="A1:H1"/>
    <mergeCell ref="A2:H2"/>
    <mergeCell ref="A4:H4"/>
    <mergeCell ref="A58:H58"/>
    <mergeCell ref="A112:H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3"/>
  </cols>
  <sheetData>
    <row r="1" customFormat="false" ht="21.75" hidden="false" customHeight="true" outlineLevel="0" collapsed="false">
      <c r="A1" s="2" t="s">
        <v>179</v>
      </c>
      <c r="B1" s="2"/>
    </row>
    <row r="2" customFormat="false" ht="15" hidden="false" customHeight="true" outlineLevel="0" collapsed="false">
      <c r="A2" s="45" t="s">
        <v>180</v>
      </c>
      <c r="B2" s="45"/>
    </row>
    <row r="3" customFormat="false" ht="26.25" hidden="false" customHeight="true" outlineLevel="0" collapsed="false">
      <c r="A3" s="20" t="s">
        <v>181</v>
      </c>
      <c r="B3" s="20" t="s">
        <v>182</v>
      </c>
    </row>
    <row r="4" customFormat="false" ht="15" hidden="false" customHeight="true" outlineLevel="0" collapsed="false">
      <c r="A4" s="35" t="s">
        <v>183</v>
      </c>
      <c r="B4" s="48" t="n">
        <v>0.55</v>
      </c>
    </row>
    <row r="5" customFormat="false" ht="15" hidden="false" customHeight="true" outlineLevel="0" collapsed="false">
      <c r="A5" s="35" t="s">
        <v>184</v>
      </c>
      <c r="B5" s="48" t="n">
        <v>0.65</v>
      </c>
    </row>
    <row r="6" customFormat="false" ht="15" hidden="false" customHeight="true" outlineLevel="0" collapsed="false">
      <c r="A6" s="35" t="s">
        <v>185</v>
      </c>
      <c r="B6" s="48" t="n">
        <v>0.65</v>
      </c>
    </row>
    <row r="7" customFormat="false" ht="15" hidden="false" customHeight="true" outlineLevel="0" collapsed="false">
      <c r="A7" s="35" t="s">
        <v>186</v>
      </c>
      <c r="B7" s="48" t="n">
        <v>0.68</v>
      </c>
    </row>
    <row r="8" customFormat="false" ht="15" hidden="false" customHeight="true" outlineLevel="0" collapsed="false">
      <c r="A8" s="35" t="s">
        <v>187</v>
      </c>
      <c r="B8" s="48" t="n">
        <v>0.72</v>
      </c>
    </row>
    <row r="9" customFormat="false" ht="15" hidden="false" customHeight="true" outlineLevel="0" collapsed="false">
      <c r="A9" s="35" t="s">
        <v>188</v>
      </c>
      <c r="B9" s="48" t="n">
        <v>0.83</v>
      </c>
    </row>
    <row r="10" customFormat="false" ht="15" hidden="false" customHeight="true" outlineLevel="0" collapsed="false">
      <c r="A10" s="35" t="s">
        <v>189</v>
      </c>
      <c r="B10" s="48" t="n">
        <v>0.69</v>
      </c>
    </row>
    <row r="11" customFormat="false" ht="15" hidden="false" customHeight="true" outlineLevel="0" collapsed="false">
      <c r="A11" s="35" t="s">
        <v>55</v>
      </c>
      <c r="B11" s="48" t="n">
        <v>0.73</v>
      </c>
    </row>
    <row r="12" customFormat="false" ht="15" hidden="false" customHeight="true" outlineLevel="0" collapsed="false">
      <c r="A12" s="35" t="s">
        <v>190</v>
      </c>
      <c r="B12" s="48" t="n">
        <v>0.79</v>
      </c>
    </row>
    <row r="13" customFormat="false" ht="15" hidden="false" customHeight="true" outlineLevel="0" collapsed="false">
      <c r="A13" s="35" t="s">
        <v>191</v>
      </c>
      <c r="B13" s="48" t="n">
        <v>0.85</v>
      </c>
    </row>
    <row r="14" customFormat="false" ht="15" hidden="false" customHeight="true" outlineLevel="0" collapsed="false">
      <c r="A14" s="35" t="s">
        <v>192</v>
      </c>
      <c r="B14" s="48" t="n">
        <v>0.65</v>
      </c>
    </row>
    <row r="15" customFormat="false" ht="15" hidden="false" customHeight="true" outlineLevel="0" collapsed="false">
      <c r="A15" s="35" t="s">
        <v>193</v>
      </c>
      <c r="B15" s="48" t="n">
        <v>0.7</v>
      </c>
    </row>
    <row r="16" customFormat="false" ht="15" hidden="false" customHeight="true" outlineLevel="0" collapsed="false">
      <c r="A16" s="35" t="s">
        <v>194</v>
      </c>
      <c r="B16" s="48" t="n">
        <v>0.79</v>
      </c>
    </row>
    <row r="17" customFormat="false" ht="15" hidden="false" customHeight="true" outlineLevel="0" collapsed="false">
      <c r="A17" s="35" t="s">
        <v>195</v>
      </c>
      <c r="B17" s="48" t="n">
        <v>0.83</v>
      </c>
    </row>
    <row r="18" customFormat="false" ht="15" hidden="false" customHeight="true" outlineLevel="0" collapsed="false">
      <c r="A18" s="35" t="s">
        <v>196</v>
      </c>
      <c r="B18" s="48" t="n">
        <v>0.55</v>
      </c>
    </row>
    <row r="19" customFormat="false" ht="15" hidden="false" customHeight="true" outlineLevel="0" collapsed="false">
      <c r="A19" s="35" t="s">
        <v>197</v>
      </c>
      <c r="B19" s="48" t="n">
        <v>0.6</v>
      </c>
    </row>
    <row r="20" customFormat="false" ht="15" hidden="false" customHeight="true" outlineLevel="0" collapsed="false">
      <c r="A20" s="35" t="s">
        <v>198</v>
      </c>
      <c r="B20" s="48" t="n">
        <v>0.6</v>
      </c>
    </row>
    <row r="21" customFormat="false" ht="15" hidden="false" customHeight="true" outlineLevel="0" collapsed="false">
      <c r="A21" s="35" t="s">
        <v>199</v>
      </c>
      <c r="B21" s="48" t="n">
        <v>0.65</v>
      </c>
    </row>
    <row r="22" customFormat="false" ht="15" hidden="false" customHeight="true" outlineLevel="0" collapsed="false">
      <c r="A22" s="35" t="s">
        <v>200</v>
      </c>
      <c r="B22" s="48" t="n">
        <v>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5" min="2" style="1" width="8"/>
  </cols>
  <sheetData>
    <row r="1" customFormat="false" ht="21.75" hidden="false" customHeight="true" outlineLevel="0" collapsed="false">
      <c r="A1" s="2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customFormat="false" ht="15" hidden="false" customHeight="true" outlineLevel="0" collapsed="false">
      <c r="A3" s="13" t="s">
        <v>202</v>
      </c>
    </row>
    <row r="4" customFormat="false" ht="15" hidden="false" customHeight="true" outlineLevel="0" collapsed="false">
      <c r="A4" s="49" t="s">
        <v>203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customFormat="false" ht="15" hidden="false" customHeight="true" outlineLevel="0" collapsed="false">
      <c r="A5" s="49" t="s">
        <v>204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</row>
    <row r="6" customFormat="false" ht="15" hidden="false" customHeight="true" outlineLevel="0" collapsed="false">
      <c r="A6" s="45" t="s">
        <v>205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</row>
    <row r="7" customFormat="false" ht="15" hidden="false" customHeight="true" outlineLevel="0" collapsed="false">
      <c r="A7" s="49" t="s">
        <v>206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</row>
    <row r="9" customFormat="false" ht="15" hidden="false" customHeight="true" outlineLevel="0" collapsed="false">
      <c r="A9" s="46" t="s">
        <v>207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</row>
    <row r="10" customFormat="false" ht="15" hidden="false" customHeight="true" outlineLevel="0" collapsed="false">
      <c r="A10" s="50" t="s">
        <v>208</v>
      </c>
      <c r="B10" s="20" t="s">
        <v>209</v>
      </c>
      <c r="C10" s="20" t="s">
        <v>210</v>
      </c>
      <c r="D10" s="20" t="s">
        <v>211</v>
      </c>
      <c r="E10" s="20" t="s">
        <v>212</v>
      </c>
      <c r="F10" s="20" t="s">
        <v>213</v>
      </c>
      <c r="G10" s="20" t="s">
        <v>214</v>
      </c>
      <c r="H10" s="20" t="s">
        <v>215</v>
      </c>
      <c r="I10" s="20" t="s">
        <v>216</v>
      </c>
      <c r="J10" s="20" t="s">
        <v>217</v>
      </c>
      <c r="K10" s="20" t="s">
        <v>218</v>
      </c>
      <c r="L10" s="20" t="s">
        <v>219</v>
      </c>
      <c r="M10" s="20" t="s">
        <v>220</v>
      </c>
      <c r="N10" s="20" t="s">
        <v>221</v>
      </c>
      <c r="O10" s="20" t="s">
        <v>222</v>
      </c>
    </row>
    <row r="11" customFormat="false" ht="15" hidden="false" customHeight="true" outlineLevel="0" collapsed="false">
      <c r="A11" s="35" t="s">
        <v>223</v>
      </c>
      <c r="B11" s="51" t="n">
        <v>1.241</v>
      </c>
      <c r="C11" s="51" t="n">
        <v>1.246</v>
      </c>
      <c r="D11" s="51" t="n">
        <v>1.251</v>
      </c>
      <c r="E11" s="51" t="n">
        <v>1.118</v>
      </c>
      <c r="F11" s="51" t="n">
        <v>1.223</v>
      </c>
      <c r="G11" s="51" t="n">
        <v>1.228</v>
      </c>
      <c r="H11" s="51" t="n">
        <v>1.154</v>
      </c>
      <c r="I11" s="51" t="n">
        <v>1.165</v>
      </c>
      <c r="J11" s="51" t="n">
        <v>1.175</v>
      </c>
      <c r="K11" s="51" t="n">
        <v>1.181</v>
      </c>
      <c r="L11" s="51" t="n">
        <v>1.093</v>
      </c>
      <c r="M11" s="51" t="n">
        <v>1.103</v>
      </c>
      <c r="N11" s="51" t="n">
        <v>1.113</v>
      </c>
      <c r="O11" s="51" t="n">
        <v>1.06</v>
      </c>
    </row>
    <row r="12" customFormat="false" ht="15" hidden="false" customHeight="true" outlineLevel="0" collapsed="false">
      <c r="A12" s="35" t="s">
        <v>224</v>
      </c>
      <c r="B12" s="51" t="n">
        <v>0.87</v>
      </c>
      <c r="C12" s="51" t="n">
        <v>0.87</v>
      </c>
      <c r="D12" s="51" t="n">
        <v>0.87</v>
      </c>
      <c r="E12" s="51" t="n">
        <v>0.8</v>
      </c>
      <c r="F12" s="51" t="n">
        <v>0.8</v>
      </c>
      <c r="G12" s="51" t="n">
        <v>0.8</v>
      </c>
      <c r="H12" s="51" t="n">
        <v>0.8</v>
      </c>
      <c r="I12" s="51" t="n">
        <v>0.8</v>
      </c>
      <c r="J12" s="51" t="n">
        <v>0.8</v>
      </c>
      <c r="K12" s="51" t="n">
        <v>0.8</v>
      </c>
      <c r="L12" s="51" t="n">
        <v>0.75</v>
      </c>
      <c r="M12" s="51" t="n">
        <v>0.75</v>
      </c>
      <c r="N12" s="51" t="n">
        <v>0.75</v>
      </c>
      <c r="O12" s="51" t="n">
        <v>0.75</v>
      </c>
    </row>
    <row r="13" customFormat="false" ht="15" hidden="false" customHeight="true" outlineLevel="0" collapsed="false">
      <c r="A13" s="35" t="s">
        <v>225</v>
      </c>
      <c r="B13" s="51" t="n">
        <v>0.99</v>
      </c>
      <c r="C13" s="51" t="n">
        <v>0.99</v>
      </c>
      <c r="D13" s="51" t="n">
        <v>0.99</v>
      </c>
      <c r="E13" s="51" t="n">
        <v>0.96</v>
      </c>
      <c r="F13" s="51" t="n">
        <v>0.96</v>
      </c>
      <c r="G13" s="51" t="n">
        <v>0.96</v>
      </c>
      <c r="H13" s="51" t="n">
        <v>0.92</v>
      </c>
      <c r="I13" s="51" t="n">
        <v>0.92</v>
      </c>
      <c r="J13" s="51" t="n">
        <v>0.92</v>
      </c>
      <c r="K13" s="51" t="n">
        <v>0.92</v>
      </c>
      <c r="L13" s="51" t="n">
        <v>0.92</v>
      </c>
      <c r="M13" s="51" t="n">
        <v>0.92</v>
      </c>
      <c r="N13" s="51" t="n">
        <v>0.92</v>
      </c>
      <c r="O13" s="51" t="n">
        <v>0.8</v>
      </c>
    </row>
    <row r="14" customFormat="false" ht="15" hidden="false" customHeight="true" outlineLevel="0" collapsed="false">
      <c r="A14" s="35" t="s">
        <v>226</v>
      </c>
      <c r="B14" s="51" t="n">
        <v>1.05</v>
      </c>
      <c r="C14" s="51" t="n">
        <v>1.05</v>
      </c>
      <c r="D14" s="51" t="n">
        <v>1.05</v>
      </c>
      <c r="E14" s="51" t="n">
        <v>1.01</v>
      </c>
      <c r="F14" s="51" t="n">
        <v>1.01</v>
      </c>
      <c r="G14" s="51" t="n">
        <v>1.01</v>
      </c>
      <c r="H14" s="51" t="n">
        <v>0.97</v>
      </c>
      <c r="I14" s="51" t="n">
        <v>0.97</v>
      </c>
      <c r="J14" s="51" t="n">
        <v>0.97</v>
      </c>
      <c r="K14" s="51" t="n">
        <v>0.97</v>
      </c>
      <c r="L14" s="51" t="n">
        <v>0.97</v>
      </c>
      <c r="M14" s="51" t="n">
        <v>0.97</v>
      </c>
      <c r="N14" s="51" t="n">
        <v>0.97</v>
      </c>
      <c r="O14" s="51" t="n">
        <v>0.85</v>
      </c>
    </row>
    <row r="15" customFormat="false" ht="15" hidden="false" customHeight="true" outlineLevel="0" collapsed="false">
      <c r="A15" s="35" t="s">
        <v>227</v>
      </c>
      <c r="B15" s="51" t="n">
        <v>1.24</v>
      </c>
      <c r="C15" s="51" t="n">
        <v>1.24</v>
      </c>
      <c r="D15" s="51" t="n">
        <v>1.24</v>
      </c>
      <c r="E15" s="51" t="n">
        <v>1.23</v>
      </c>
      <c r="F15" s="51" t="n">
        <v>1.23</v>
      </c>
      <c r="G15" s="51" t="n">
        <v>1.23</v>
      </c>
      <c r="H15" s="51" t="n">
        <v>1.18</v>
      </c>
      <c r="I15" s="51" t="n">
        <v>1.18</v>
      </c>
      <c r="J15" s="51" t="n">
        <v>1.18</v>
      </c>
      <c r="K15" s="51" t="n">
        <v>1.18</v>
      </c>
      <c r="L15" s="51" t="n">
        <v>1.18</v>
      </c>
      <c r="M15" s="51" t="n">
        <v>1.18</v>
      </c>
      <c r="N15" s="51" t="n">
        <v>1.18</v>
      </c>
      <c r="O15" s="51" t="n">
        <v>1.03</v>
      </c>
    </row>
    <row r="16" customFormat="false" ht="15" hidden="false" customHeight="true" outlineLevel="0" collapsed="false">
      <c r="A16" s="35" t="s">
        <v>228</v>
      </c>
      <c r="B16" s="51" t="n">
        <v>1.31</v>
      </c>
      <c r="C16" s="51" t="n">
        <v>1.31</v>
      </c>
      <c r="D16" s="51" t="n">
        <v>1.31</v>
      </c>
      <c r="E16" s="51" t="n">
        <v>1.3</v>
      </c>
      <c r="F16" s="51" t="n">
        <v>1.3</v>
      </c>
      <c r="G16" s="51" t="n">
        <v>1.3</v>
      </c>
      <c r="H16" s="51" t="n">
        <v>1.23</v>
      </c>
      <c r="I16" s="51" t="n">
        <v>1.23</v>
      </c>
      <c r="J16" s="51" t="n">
        <v>1.23</v>
      </c>
      <c r="K16" s="51" t="n">
        <v>1.23</v>
      </c>
      <c r="L16" s="51" t="n">
        <v>1.23</v>
      </c>
      <c r="M16" s="51" t="n">
        <v>1.23</v>
      </c>
      <c r="N16" s="51" t="n">
        <v>1.23</v>
      </c>
      <c r="O16" s="51" t="n">
        <v>1.09</v>
      </c>
    </row>
    <row r="17" customFormat="false" ht="15" hidden="false" customHeight="true" outlineLevel="0" collapsed="false">
      <c r="A17" s="45" t="s">
        <v>229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</row>
    <row r="19" customFormat="false" ht="15" hidden="false" customHeight="true" outlineLevel="0" collapsed="false">
      <c r="A19" s="46" t="s">
        <v>230</v>
      </c>
      <c r="B19" s="46"/>
      <c r="C19" s="46"/>
      <c r="D19" s="46"/>
      <c r="E19" s="46"/>
      <c r="F19" s="46"/>
      <c r="G19" s="46"/>
    </row>
    <row r="20" customFormat="false" ht="26.25" hidden="false" customHeight="true" outlineLevel="0" collapsed="false">
      <c r="A20" s="50" t="s">
        <v>231</v>
      </c>
      <c r="B20" s="20" t="s">
        <v>232</v>
      </c>
      <c r="C20" s="20" t="s">
        <v>233</v>
      </c>
      <c r="D20" s="20" t="s">
        <v>234</v>
      </c>
      <c r="E20" s="20" t="s">
        <v>235</v>
      </c>
      <c r="F20" s="20" t="s">
        <v>236</v>
      </c>
      <c r="G20" s="20" t="s">
        <v>237</v>
      </c>
    </row>
    <row r="21" customFormat="false" ht="15" hidden="false" customHeight="true" outlineLevel="0" collapsed="false">
      <c r="A21" s="52" t="n">
        <v>35</v>
      </c>
      <c r="B21" s="53" t="n">
        <v>1</v>
      </c>
      <c r="C21" s="52" t="s">
        <v>238</v>
      </c>
      <c r="D21" s="52" t="s">
        <v>238</v>
      </c>
      <c r="E21" s="52" t="s">
        <v>238</v>
      </c>
      <c r="F21" s="52" t="s">
        <v>238</v>
      </c>
      <c r="G21" s="52" t="s">
        <v>238</v>
      </c>
    </row>
    <row r="22" customFormat="false" ht="15" hidden="false" customHeight="true" outlineLevel="0" collapsed="false">
      <c r="A22" s="52" t="n">
        <v>40</v>
      </c>
      <c r="B22" s="53" t="n">
        <v>0.87</v>
      </c>
      <c r="C22" s="53" t="n">
        <v>1</v>
      </c>
      <c r="D22" s="52" t="s">
        <v>238</v>
      </c>
      <c r="E22" s="52" t="s">
        <v>238</v>
      </c>
      <c r="F22" s="52" t="s">
        <v>238</v>
      </c>
      <c r="G22" s="52" t="s">
        <v>238</v>
      </c>
    </row>
    <row r="23" customFormat="false" ht="15" hidden="false" customHeight="true" outlineLevel="0" collapsed="false">
      <c r="A23" s="52" t="n">
        <v>45</v>
      </c>
      <c r="B23" s="53" t="n">
        <v>0.77</v>
      </c>
      <c r="C23" s="53" t="n">
        <v>0.89</v>
      </c>
      <c r="D23" s="53" t="n">
        <v>1</v>
      </c>
      <c r="E23" s="52" t="s">
        <v>238</v>
      </c>
      <c r="F23" s="52" t="s">
        <v>238</v>
      </c>
      <c r="G23" s="52" t="s">
        <v>238</v>
      </c>
    </row>
    <row r="24" customFormat="false" ht="15" hidden="false" customHeight="true" outlineLevel="0" collapsed="false">
      <c r="A24" s="52" t="n">
        <v>50</v>
      </c>
      <c r="B24" s="53" t="n">
        <v>0.68</v>
      </c>
      <c r="C24" s="53" t="n">
        <v>0.78</v>
      </c>
      <c r="D24" s="53" t="n">
        <v>0.88</v>
      </c>
      <c r="E24" s="53" t="n">
        <v>1</v>
      </c>
      <c r="F24" s="52" t="s">
        <v>238</v>
      </c>
      <c r="G24" s="52" t="s">
        <v>238</v>
      </c>
    </row>
    <row r="25" customFormat="false" ht="15" hidden="false" customHeight="true" outlineLevel="0" collapsed="false">
      <c r="A25" s="52" t="n">
        <v>55</v>
      </c>
      <c r="B25" s="53" t="n">
        <v>0.61</v>
      </c>
      <c r="C25" s="53" t="n">
        <v>0.7</v>
      </c>
      <c r="D25" s="53" t="n">
        <v>0.79</v>
      </c>
      <c r="E25" s="53" t="n">
        <v>0.9</v>
      </c>
      <c r="F25" s="53" t="n">
        <v>1</v>
      </c>
      <c r="G25" s="52" t="s">
        <v>238</v>
      </c>
    </row>
    <row r="26" customFormat="false" ht="15" hidden="false" customHeight="true" outlineLevel="0" collapsed="false">
      <c r="A26" s="52" t="n">
        <v>60</v>
      </c>
      <c r="B26" s="53" t="n">
        <v>0.55</v>
      </c>
      <c r="C26" s="53" t="n">
        <v>0.63</v>
      </c>
      <c r="D26" s="53" t="n">
        <v>0.71</v>
      </c>
      <c r="E26" s="53" t="n">
        <v>0.81</v>
      </c>
      <c r="F26" s="53" t="n">
        <v>0.9</v>
      </c>
      <c r="G26" s="53" t="n">
        <v>1</v>
      </c>
    </row>
  </sheetData>
  <mergeCells count="8">
    <mergeCell ref="A1:O1"/>
    <mergeCell ref="A4:O4"/>
    <mergeCell ref="A5:O5"/>
    <mergeCell ref="A6:O6"/>
    <mergeCell ref="A7:O7"/>
    <mergeCell ref="A9:O9"/>
    <mergeCell ref="A17:O17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6" min="2" style="1" width="17"/>
    <col collapsed="false" customWidth="true" hidden="false" outlineLevel="0" max="8" min="8" style="1" width="7"/>
    <col collapsed="false" customWidth="true" hidden="false" outlineLevel="0" max="9" min="9" style="1" width="12"/>
  </cols>
  <sheetData>
    <row r="1" customFormat="false" ht="21.75" hidden="false" customHeight="true" outlineLevel="0" collapsed="false">
      <c r="A1" s="2" t="s">
        <v>239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45" t="s">
        <v>240</v>
      </c>
      <c r="B2" s="45"/>
      <c r="C2" s="45"/>
      <c r="D2" s="45"/>
      <c r="E2" s="45"/>
      <c r="F2" s="45"/>
    </row>
    <row r="3" customFormat="false" ht="15" hidden="false" customHeight="true" outlineLevel="0" collapsed="false">
      <c r="A3" s="45" t="s">
        <v>241</v>
      </c>
      <c r="B3" s="45"/>
      <c r="C3" s="45"/>
      <c r="D3" s="45"/>
      <c r="E3" s="45"/>
      <c r="F3" s="45"/>
    </row>
    <row r="5" customFormat="false" ht="26.25" hidden="false" customHeight="true" outlineLevel="0" collapsed="false">
      <c r="A5" s="20" t="s">
        <v>242</v>
      </c>
      <c r="B5" s="20" t="s">
        <v>243</v>
      </c>
      <c r="C5" s="20" t="s">
        <v>244</v>
      </c>
      <c r="D5" s="20" t="s">
        <v>245</v>
      </c>
      <c r="E5" s="20" t="s">
        <v>246</v>
      </c>
      <c r="F5" s="20" t="s">
        <v>247</v>
      </c>
      <c r="H5" s="13" t="s">
        <v>248</v>
      </c>
      <c r="I5" s="54" t="n">
        <v>0.001162</v>
      </c>
    </row>
    <row r="6" customFormat="false" ht="15" hidden="false" customHeight="true" outlineLevel="0" collapsed="false">
      <c r="A6" s="55" t="s">
        <v>249</v>
      </c>
      <c r="B6" s="56" t="n">
        <v>0</v>
      </c>
      <c r="C6" s="56" t="n">
        <v>60</v>
      </c>
      <c r="D6" s="57" t="n">
        <v>10</v>
      </c>
      <c r="E6" s="58" t="n">
        <f aca="false">C6-D6</f>
        <v>50</v>
      </c>
      <c r="F6" s="59" t="n">
        <f aca="false">$I$5*E6*B6</f>
        <v>0</v>
      </c>
    </row>
    <row r="7" customFormat="false" ht="15" hidden="false" customHeight="true" outlineLevel="0" collapsed="false">
      <c r="A7" s="55" t="s">
        <v>250</v>
      </c>
      <c r="B7" s="56" t="n">
        <v>0</v>
      </c>
      <c r="C7" s="56" t="n">
        <v>60</v>
      </c>
      <c r="D7" s="57" t="n">
        <v>10</v>
      </c>
      <c r="E7" s="58" t="n">
        <f aca="false">C7-D7</f>
        <v>50</v>
      </c>
      <c r="F7" s="59" t="n">
        <f aca="false">$I$5*E7*B7</f>
        <v>0</v>
      </c>
    </row>
    <row r="8" customFormat="false" ht="15" hidden="false" customHeight="true" outlineLevel="0" collapsed="false">
      <c r="A8" s="55" t="s">
        <v>251</v>
      </c>
      <c r="B8" s="56" t="n">
        <v>0</v>
      </c>
      <c r="C8" s="56" t="n">
        <v>60</v>
      </c>
      <c r="D8" s="57" t="n">
        <v>10</v>
      </c>
      <c r="E8" s="58" t="n">
        <f aca="false">C8-D8</f>
        <v>50</v>
      </c>
      <c r="F8" s="59" t="n">
        <f aca="false">$I$5*E8*B8</f>
        <v>0</v>
      </c>
    </row>
    <row r="9" customFormat="false" ht="15" hidden="false" customHeight="true" outlineLevel="0" collapsed="false">
      <c r="A9" s="55" t="s">
        <v>252</v>
      </c>
      <c r="B9" s="56" t="n">
        <v>0</v>
      </c>
      <c r="C9" s="56" t="n">
        <v>60</v>
      </c>
      <c r="D9" s="57" t="n">
        <v>10</v>
      </c>
      <c r="E9" s="58" t="n">
        <f aca="false">C9-D9</f>
        <v>50</v>
      </c>
      <c r="F9" s="59" t="n">
        <f aca="false">$I$5*E9*B9</f>
        <v>0</v>
      </c>
    </row>
    <row r="10" customFormat="false" ht="15" hidden="false" customHeight="true" outlineLevel="0" collapsed="false">
      <c r="A10" s="55" t="s">
        <v>253</v>
      </c>
      <c r="B10" s="56" t="n">
        <v>0</v>
      </c>
      <c r="C10" s="56" t="n">
        <v>60</v>
      </c>
      <c r="D10" s="57" t="n">
        <v>10</v>
      </c>
      <c r="E10" s="58" t="n">
        <f aca="false">C10-D10</f>
        <v>50</v>
      </c>
      <c r="F10" s="59" t="n">
        <f aca="false">$I$5*E10*B10</f>
        <v>0</v>
      </c>
    </row>
    <row r="11" customFormat="false" ht="15" hidden="false" customHeight="true" outlineLevel="0" collapsed="false">
      <c r="A11" s="55" t="s">
        <v>254</v>
      </c>
      <c r="B11" s="56" t="n">
        <v>0</v>
      </c>
      <c r="C11" s="56" t="n">
        <v>60</v>
      </c>
      <c r="D11" s="57" t="n">
        <v>10</v>
      </c>
      <c r="E11" s="58" t="n">
        <f aca="false">C11-D11</f>
        <v>50</v>
      </c>
      <c r="F11" s="59" t="n">
        <f aca="false">$I$5*E11*B11</f>
        <v>0</v>
      </c>
    </row>
    <row r="12" customFormat="false" ht="15" hidden="false" customHeight="true" outlineLevel="0" collapsed="false">
      <c r="A12" s="55" t="s">
        <v>255</v>
      </c>
      <c r="B12" s="56" t="n">
        <v>0</v>
      </c>
      <c r="C12" s="56" t="n">
        <v>60</v>
      </c>
      <c r="D12" s="57" t="n">
        <v>10</v>
      </c>
      <c r="E12" s="58" t="n">
        <f aca="false">C12-D12</f>
        <v>50</v>
      </c>
      <c r="F12" s="59" t="n">
        <f aca="false">$I$5*E12*B12</f>
        <v>0</v>
      </c>
    </row>
    <row r="13" customFormat="false" ht="15" hidden="false" customHeight="true" outlineLevel="0" collapsed="false">
      <c r="A13" s="55" t="s">
        <v>256</v>
      </c>
      <c r="B13" s="56" t="n">
        <v>0</v>
      </c>
      <c r="C13" s="56" t="n">
        <v>60</v>
      </c>
      <c r="D13" s="57" t="n">
        <v>10</v>
      </c>
      <c r="E13" s="58" t="n">
        <f aca="false">C13-D13</f>
        <v>50</v>
      </c>
      <c r="F13" s="59" t="n">
        <f aca="false">$I$5*E13*B13</f>
        <v>0</v>
      </c>
    </row>
    <row r="14" customFormat="false" ht="15" hidden="false" customHeight="true" outlineLevel="0" collapsed="false">
      <c r="A14" s="55" t="s">
        <v>257</v>
      </c>
      <c r="B14" s="56" t="n">
        <v>0</v>
      </c>
      <c r="C14" s="56" t="n">
        <v>60</v>
      </c>
      <c r="D14" s="57" t="n">
        <v>10</v>
      </c>
      <c r="E14" s="58" t="n">
        <f aca="false">C14-D14</f>
        <v>50</v>
      </c>
      <c r="F14" s="59" t="n">
        <f aca="false">$I$5*E14*B14</f>
        <v>0</v>
      </c>
    </row>
    <row r="15" customFormat="false" ht="15" hidden="false" customHeight="true" outlineLevel="0" collapsed="false">
      <c r="A15" s="55" t="s">
        <v>258</v>
      </c>
      <c r="B15" s="56" t="n">
        <v>0</v>
      </c>
      <c r="C15" s="56" t="n">
        <v>60</v>
      </c>
      <c r="D15" s="57" t="n">
        <v>10</v>
      </c>
      <c r="E15" s="58" t="n">
        <f aca="false">C15-D15</f>
        <v>50</v>
      </c>
      <c r="F15" s="59" t="n">
        <f aca="false">$I$5*E15*B15</f>
        <v>0</v>
      </c>
    </row>
    <row r="16" customFormat="false" ht="15" hidden="false" customHeight="true" outlineLevel="0" collapsed="false">
      <c r="A16" s="55" t="s">
        <v>259</v>
      </c>
      <c r="B16" s="56" t="n">
        <v>0</v>
      </c>
      <c r="C16" s="56" t="n">
        <v>60</v>
      </c>
      <c r="D16" s="57" t="n">
        <v>10</v>
      </c>
      <c r="E16" s="58" t="n">
        <f aca="false">C16-D16</f>
        <v>50</v>
      </c>
      <c r="F16" s="59" t="n">
        <f aca="false">$I$5*E16*B16</f>
        <v>0</v>
      </c>
    </row>
    <row r="17" customFormat="false" ht="15" hidden="false" customHeight="true" outlineLevel="0" collapsed="false">
      <c r="A17" s="55" t="s">
        <v>260</v>
      </c>
      <c r="B17" s="56" t="n">
        <v>0</v>
      </c>
      <c r="C17" s="56" t="n">
        <v>60</v>
      </c>
      <c r="D17" s="57" t="n">
        <v>10</v>
      </c>
      <c r="E17" s="58" t="n">
        <f aca="false">C17-D17</f>
        <v>50</v>
      </c>
      <c r="F17" s="59" t="n">
        <f aca="false">$I$5*E17*B17</f>
        <v>0</v>
      </c>
    </row>
    <row r="18" customFormat="false" ht="15" hidden="false" customHeight="true" outlineLevel="0" collapsed="false">
      <c r="A18" s="60" t="s">
        <v>102</v>
      </c>
      <c r="F18" s="61" t="n">
        <f aca="false">SUM(F6:F17)</f>
        <v>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9" min="5" style="1" width="26"/>
  </cols>
  <sheetData>
    <row r="1" customFormat="false" ht="21.75" hidden="false" customHeight="true" outlineLevel="0" collapsed="false">
      <c r="A1" s="2" t="s">
        <v>261</v>
      </c>
      <c r="B1" s="2"/>
      <c r="C1" s="2"/>
    </row>
    <row r="3" customFormat="false" ht="15" hidden="false" customHeight="true" outlineLevel="0" collapsed="false">
      <c r="A3" s="46" t="s">
        <v>262</v>
      </c>
      <c r="B3" s="46"/>
      <c r="C3" s="46"/>
      <c r="E3" s="13" t="s">
        <v>263</v>
      </c>
    </row>
    <row r="4" customFormat="false" ht="15" hidden="false" customHeight="true" outlineLevel="0" collapsed="false">
      <c r="A4" s="55" t="s">
        <v>264</v>
      </c>
      <c r="B4" s="62" t="n">
        <v>2</v>
      </c>
      <c r="E4" s="35" t="s">
        <v>4</v>
      </c>
      <c r="F4" s="35" t="s">
        <v>264</v>
      </c>
      <c r="G4" s="35" t="s">
        <v>28</v>
      </c>
      <c r="H4" s="35" t="s">
        <v>17</v>
      </c>
      <c r="I4" s="35" t="s">
        <v>265</v>
      </c>
    </row>
    <row r="5" customFormat="false" ht="15" hidden="false" customHeight="true" outlineLevel="0" collapsed="false">
      <c r="A5" s="55" t="s">
        <v>62</v>
      </c>
      <c r="B5" s="62" t="n">
        <v>2.5</v>
      </c>
      <c r="E5" s="35" t="s">
        <v>266</v>
      </c>
      <c r="F5" s="35" t="s">
        <v>62</v>
      </c>
      <c r="G5" s="35" t="s">
        <v>267</v>
      </c>
      <c r="H5" s="35" t="s">
        <v>34</v>
      </c>
      <c r="I5" s="35" t="s">
        <v>20</v>
      </c>
    </row>
    <row r="6" customFormat="false" ht="15" hidden="false" customHeight="true" outlineLevel="0" collapsed="false">
      <c r="A6" s="55" t="s">
        <v>268</v>
      </c>
      <c r="B6" s="62" t="n">
        <v>3</v>
      </c>
      <c r="E6" s="35" t="s">
        <v>269</v>
      </c>
      <c r="F6" s="35" t="s">
        <v>268</v>
      </c>
      <c r="G6" s="35" t="s">
        <v>270</v>
      </c>
    </row>
    <row r="8" customFormat="false" ht="15" hidden="false" customHeight="true" outlineLevel="0" collapsed="false">
      <c r="A8" s="45" t="s">
        <v>271</v>
      </c>
      <c r="B8" s="45"/>
      <c r="C8" s="45"/>
    </row>
    <row r="9" customFormat="false" ht="15" hidden="false" customHeight="true" outlineLevel="0" collapsed="false">
      <c r="A9" s="63" t="s">
        <v>4</v>
      </c>
      <c r="B9" s="64" t="n">
        <v>2</v>
      </c>
    </row>
    <row r="10" customFormat="false" ht="15" hidden="false" customHeight="true" outlineLevel="0" collapsed="false">
      <c r="A10" s="63" t="s">
        <v>62</v>
      </c>
      <c r="B10" s="64" t="n">
        <v>2</v>
      </c>
    </row>
    <row r="11" customFormat="false" ht="15" hidden="false" customHeight="true" outlineLevel="0" collapsed="false">
      <c r="A11" s="63" t="s">
        <v>272</v>
      </c>
      <c r="B11" s="64" t="n">
        <v>3</v>
      </c>
    </row>
    <row r="12" customFormat="false" ht="15" hidden="false" customHeight="true" outlineLevel="0" collapsed="false">
      <c r="A12" s="63" t="s">
        <v>273</v>
      </c>
      <c r="B12" s="64" t="n">
        <v>4</v>
      </c>
    </row>
    <row r="15" customFormat="false" ht="15" hidden="false" customHeight="true" outlineLevel="0" collapsed="false">
      <c r="A15" s="46" t="s">
        <v>274</v>
      </c>
      <c r="B15" s="46"/>
      <c r="C15" s="46"/>
    </row>
    <row r="16" customFormat="false" ht="15" hidden="false" customHeight="true" outlineLevel="0" collapsed="false">
      <c r="A16" s="55" t="s">
        <v>275</v>
      </c>
      <c r="B16" s="65" t="n">
        <v>1.5</v>
      </c>
    </row>
    <row r="17" customFormat="false" ht="15" hidden="false" customHeight="true" outlineLevel="0" collapsed="false">
      <c r="A17" s="55" t="s">
        <v>276</v>
      </c>
      <c r="B17" s="65" t="n">
        <v>2.5</v>
      </c>
    </row>
    <row r="18" customFormat="false" ht="15" hidden="false" customHeight="true" outlineLevel="0" collapsed="false">
      <c r="A18" s="55" t="s">
        <v>277</v>
      </c>
      <c r="B18" s="65" t="n">
        <v>0.03</v>
      </c>
    </row>
    <row r="19" customFormat="false" ht="15" hidden="false" customHeight="true" outlineLevel="0" collapsed="false">
      <c r="A19" s="55" t="s">
        <v>278</v>
      </c>
      <c r="B19" s="65" t="n">
        <v>0.05</v>
      </c>
    </row>
    <row r="20" customFormat="false" ht="15" hidden="false" customHeight="true" outlineLevel="0" collapsed="false">
      <c r="A20" s="55" t="s">
        <v>279</v>
      </c>
      <c r="B20" s="65" t="n">
        <v>0.7</v>
      </c>
    </row>
  </sheetData>
  <mergeCells count="4">
    <mergeCell ref="A1:C1"/>
    <mergeCell ref="A3:C3"/>
    <mergeCell ref="A8:C8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5"/>
  </cols>
  <sheetData>
    <row r="1" customFormat="false" ht="24" hidden="false" customHeight="true" outlineLevel="0" collapsed="false">
      <c r="B1" s="66" t="s">
        <v>280</v>
      </c>
    </row>
    <row r="3" customFormat="false" ht="15" hidden="false" customHeight="true" outlineLevel="0" collapsed="false">
      <c r="B3" s="67" t="s">
        <v>281</v>
      </c>
    </row>
    <row r="4" customFormat="false" ht="15" hidden="false" customHeight="true" outlineLevel="0" collapsed="false">
      <c r="B4" s="68" t="s">
        <v>282</v>
      </c>
    </row>
    <row r="5" customFormat="false" ht="15" hidden="false" customHeight="true" outlineLevel="0" collapsed="false">
      <c r="B5" s="69" t="s">
        <v>283</v>
      </c>
    </row>
    <row r="6" customFormat="false" ht="15" hidden="false" customHeight="true" outlineLevel="0" collapsed="false">
      <c r="B6" s="69" t="s">
        <v>284</v>
      </c>
    </row>
    <row r="7" customFormat="false" ht="15" hidden="false" customHeight="true" outlineLevel="0" collapsed="false">
      <c r="B7" s="68" t="s">
        <v>285</v>
      </c>
    </row>
    <row r="8" customFormat="false" ht="15" hidden="false" customHeight="true" outlineLevel="0" collapsed="false">
      <c r="B8" s="69" t="s">
        <v>286</v>
      </c>
    </row>
    <row r="10" customFormat="false" ht="15" hidden="false" customHeight="true" outlineLevel="0" collapsed="false">
      <c r="B10" s="67" t="s">
        <v>287</v>
      </c>
    </row>
    <row r="11" customFormat="false" ht="23.25" hidden="false" customHeight="true" outlineLevel="0" collapsed="false">
      <c r="B11" s="69" t="s">
        <v>288</v>
      </c>
    </row>
    <row r="13" customFormat="false" ht="15" hidden="false" customHeight="true" outlineLevel="0" collapsed="false">
      <c r="B13" s="67" t="s">
        <v>289</v>
      </c>
    </row>
    <row r="14" customFormat="false" ht="23.25" hidden="false" customHeight="true" outlineLevel="0" collapsed="false">
      <c r="B14" s="69" t="s">
        <v>290</v>
      </c>
    </row>
    <row r="15" customFormat="false" ht="23.25" hidden="false" customHeight="true" outlineLevel="0" collapsed="false">
      <c r="B15" s="69" t="s">
        <v>291</v>
      </c>
    </row>
    <row r="16" customFormat="false" ht="15" hidden="false" customHeight="true" outlineLevel="0" collapsed="false">
      <c r="B16" s="69" t="s">
        <v>292</v>
      </c>
    </row>
    <row r="17" customFormat="false" ht="23.25" hidden="false" customHeight="true" outlineLevel="0" collapsed="false">
      <c r="B17" s="69" t="s">
        <v>293</v>
      </c>
    </row>
    <row r="19" customFormat="false" ht="15" hidden="false" customHeight="true" outlineLevel="0" collapsed="false">
      <c r="B19" s="67" t="s">
        <v>294</v>
      </c>
    </row>
    <row r="20" customFormat="false" ht="23.25" hidden="false" customHeight="true" outlineLevel="0" collapsed="false">
      <c r="B20" s="69" t="s">
        <v>295</v>
      </c>
    </row>
    <row r="21" customFormat="false" ht="23.25" hidden="false" customHeight="true" outlineLevel="0" collapsed="false">
      <c r="B21" s="69" t="s">
        <v>296</v>
      </c>
    </row>
    <row r="22" customFormat="false" ht="15" hidden="false" customHeight="true" outlineLevel="0" collapsed="false">
      <c r="B22" s="69" t="s">
        <v>297</v>
      </c>
    </row>
    <row r="24" customFormat="false" ht="15" hidden="false" customHeight="true" outlineLevel="0" collapsed="false">
      <c r="B24" s="67" t="s">
        <v>298</v>
      </c>
    </row>
    <row r="25" customFormat="false" ht="23.25" hidden="false" customHeight="true" outlineLevel="0" collapsed="false">
      <c r="B25" s="69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2026-07-01T14:24:49Z</dcterms:created>
  <dc:creator>openpyxl</dc:creator>
  <dc:description/>
  <dc:language>en-US</dc:language>
  <cp:lastModifiedBy/>
  <dcterms:modified xsi:type="dcterms:W3CDTF">2026-07-02T12:21:51Z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